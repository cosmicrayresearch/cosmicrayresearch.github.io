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Cosmic ray research\Website\"/>
    </mc:Choice>
  </mc:AlternateContent>
  <bookViews>
    <workbookView xWindow="0" yWindow="0" windowWidth="19425" windowHeight="8115" tabRatio="610"/>
  </bookViews>
  <sheets>
    <sheet name="Data Tables and Graphs" sheetId="1" r:id="rId1"/>
    <sheet name="Raw Data Dump" sheetId="2" r:id="rId2"/>
  </sheets>
  <definedNames>
    <definedName name="ExternalData_100" localSheetId="1">'Raw Data Dump'!$B$1:$C$45</definedName>
    <definedName name="ExternalData_101" localSheetId="1">'Raw Data Dump'!$A$1:$A$342</definedName>
    <definedName name="ExternalData_102" localSheetId="1">'Raw Data Dump'!$B$1:$C$45</definedName>
    <definedName name="ExternalData_14" localSheetId="1">'Raw Data Dump'!$A$1:$A$138</definedName>
    <definedName name="ExternalData_16" localSheetId="1">'Raw Data Dump'!$A$1:$A$138</definedName>
    <definedName name="ExternalData_17" localSheetId="1">'Raw Data Dump'!$A$1:$A$138</definedName>
    <definedName name="ExternalData_18" localSheetId="1">'Raw Data Dump'!$A$1:$A$138</definedName>
    <definedName name="ExternalData_19" localSheetId="1">'Raw Data Dump'!$A$1:$A$138</definedName>
    <definedName name="ExternalData_20" localSheetId="1">'Raw Data Dump'!$A$1:$A$138</definedName>
    <definedName name="ExternalData_21" localSheetId="1">'Raw Data Dump'!$A$1:$A$138</definedName>
    <definedName name="ExternalData_22" localSheetId="1">'Raw Data Dump'!$A$1:$A$138</definedName>
    <definedName name="ExternalData_23" localSheetId="1">'Raw Data Dump'!$A$1:$A$138</definedName>
    <definedName name="ExternalData_24" localSheetId="1">'Raw Data Dump'!$A$1:$A$138</definedName>
    <definedName name="ExternalData_25" localSheetId="1">'Raw Data Dump'!$A$1:$A$138</definedName>
    <definedName name="ExternalData_28" localSheetId="1">'Raw Data Dump'!$A$1:$A$138</definedName>
    <definedName name="ExternalData_29" localSheetId="1">'Raw Data Dump'!$A$1:$A$138</definedName>
    <definedName name="ExternalData_30" localSheetId="1">'Raw Data Dump'!$A$1:$A$138</definedName>
    <definedName name="ExternalData_31" localSheetId="1">'Raw Data Dump'!$A$1:$A$138</definedName>
    <definedName name="ExternalData_32" localSheetId="1">'Raw Data Dump'!$A$1:$A$138</definedName>
    <definedName name="ExternalData_33" localSheetId="1">'Raw Data Dump'!$A$1:$A$138</definedName>
    <definedName name="ExternalData_34" localSheetId="1">'Raw Data Dump'!$A$1:$A$35</definedName>
    <definedName name="ExternalData_35" localSheetId="1">'Raw Data Dump'!$A$1:$A$35</definedName>
    <definedName name="ExternalData_36" localSheetId="1">'Raw Data Dump'!$A$1:$A$35</definedName>
    <definedName name="ExternalData_37" localSheetId="1">'Raw Data Dump'!$A$1:$A$35</definedName>
    <definedName name="ExternalData_38" localSheetId="1">'Raw Data Dump'!$A$1:$A$35</definedName>
    <definedName name="ExternalData_39" localSheetId="1">'Raw Data Dump'!$A$1:$A$36</definedName>
    <definedName name="ExternalData_40" localSheetId="1">'Raw Data Dump'!$A$1:$A$36</definedName>
    <definedName name="ExternalData_41" localSheetId="1">'Raw Data Dump'!$A$1:$A$36</definedName>
    <definedName name="ExternalData_42" localSheetId="1">'Raw Data Dump'!$A$1:$A$138</definedName>
    <definedName name="ExternalData_43" localSheetId="1">'Raw Data Dump'!$A$1:$A$138</definedName>
    <definedName name="ExternalData_44" localSheetId="1">'Raw Data Dump'!$A$1:$A$36</definedName>
    <definedName name="ExternalData_45" localSheetId="1">'Raw Data Dump'!$A$1:$A$138</definedName>
    <definedName name="ExternalData_46" localSheetId="1">'Raw Data Dump'!$A$1:$A$138</definedName>
    <definedName name="ExternalData_47" localSheetId="1">'Raw Data Dump'!$A$1:$A$138</definedName>
    <definedName name="ExternalData_48" localSheetId="1">'Raw Data Dump'!$A$1:$A$36</definedName>
    <definedName name="ExternalData_49" localSheetId="1">'Raw Data Dump'!$A$1:$A$138</definedName>
    <definedName name="ExternalData_50" localSheetId="1">'Raw Data Dump'!$A$1:$A$138</definedName>
    <definedName name="ExternalData_56" localSheetId="1">'Raw Data Dump'!$A$1:$A$138</definedName>
    <definedName name="ExternalData_57" localSheetId="1">'Raw Data Dump'!$A$1:$A$138</definedName>
    <definedName name="ExternalData_58" localSheetId="1">'Raw Data Dump'!$A$1:$A$138</definedName>
    <definedName name="ExternalData_59" localSheetId="1">'Raw Data Dump'!$A$1:$A$138</definedName>
    <definedName name="ExternalData_60" localSheetId="1">'Raw Data Dump'!$A$1:$A$138</definedName>
    <definedName name="ExternalData_61" localSheetId="1">'Raw Data Dump'!$A$1:$A$138</definedName>
    <definedName name="ExternalData_62" localSheetId="1">'Raw Data Dump'!$A$1:$A$138</definedName>
    <definedName name="ExternalData_66" localSheetId="1">'Raw Data Dump'!$A$1:$A$37</definedName>
    <definedName name="ExternalData_67" localSheetId="1">'Raw Data Dump'!$A$1:$A$37</definedName>
    <definedName name="ExternalData_68" localSheetId="1">'Raw Data Dump'!$B$1:$C$45</definedName>
    <definedName name="ExternalData_69" localSheetId="1">'Raw Data Dump'!$B$1:$C$45</definedName>
    <definedName name="ExternalData_70" localSheetId="1">'Raw Data Dump'!$A$1:$A$37</definedName>
    <definedName name="ExternalData_71" localSheetId="1">'Raw Data Dump'!$A$1:$A$37</definedName>
    <definedName name="ExternalData_72" localSheetId="1">'Raw Data Dump'!$B$1:$C$45</definedName>
    <definedName name="ExternalData_73" localSheetId="1">'Raw Data Dump'!$B$1:$C$45</definedName>
    <definedName name="ExternalData_74" localSheetId="1">'Raw Data Dump'!$B$1:$C$45</definedName>
    <definedName name="ExternalData_75" localSheetId="1">'Raw Data Dump'!$A$1:$A$37</definedName>
    <definedName name="ExternalData_76" localSheetId="1">'Raw Data Dump'!$B$1:$C$45</definedName>
    <definedName name="ExternalData_77" localSheetId="1">'Raw Data Dump'!$A$1:$A$37</definedName>
    <definedName name="ExternalData_78" localSheetId="1">'Raw Data Dump'!$B$1:$C$45</definedName>
    <definedName name="ExternalData_79" localSheetId="1">'Raw Data Dump'!$B$1:$C$45</definedName>
    <definedName name="ExternalData_80" localSheetId="1">'Raw Data Dump'!$A$1:$A$37</definedName>
    <definedName name="ExternalData_81" localSheetId="1">'Raw Data Dump'!$B$1:$C$45</definedName>
    <definedName name="ExternalData_82" localSheetId="1">'Raw Data Dump'!$B$1:$C$45</definedName>
    <definedName name="ExternalData_83" localSheetId="1">'Raw Data Dump'!$B$1:$C$45</definedName>
    <definedName name="ExternalData_84" localSheetId="1">'Raw Data Dump'!$B$1:$C$45</definedName>
    <definedName name="ExternalData_85" localSheetId="1">'Raw Data Dump'!$A$1:$A$38</definedName>
    <definedName name="ExternalData_86" localSheetId="1">'Raw Data Dump'!$B$1:$C$45</definedName>
    <definedName name="ExternalData_87" localSheetId="1">'Raw Data Dump'!$B$1:$C$45</definedName>
    <definedName name="ExternalData_88" localSheetId="1">'Raw Data Dump'!$A$1:$A$38</definedName>
    <definedName name="ExternalData_89" localSheetId="1">'Raw Data Dump'!$B$1:$C$45</definedName>
    <definedName name="ExternalData_90" localSheetId="1">'Raw Data Dump'!$A$1:$A$38</definedName>
    <definedName name="ExternalData_91" localSheetId="1">'Raw Data Dump'!$B$1:$C$45</definedName>
    <definedName name="ExternalData_92" localSheetId="1">'Raw Data Dump'!$B$1:$C$45</definedName>
    <definedName name="ExternalData_93" localSheetId="1">'Raw Data Dump'!$B$1:$C$45</definedName>
    <definedName name="ExternalData_94" localSheetId="1">'Raw Data Dump'!$B$1:$C$45</definedName>
    <definedName name="ExternalData_95" localSheetId="1">'Raw Data Dump'!$B$1:$C$45</definedName>
    <definedName name="ExternalData_96" localSheetId="1">'Raw Data Dump'!$B$1:$C$45</definedName>
    <definedName name="ExternalData_97" localSheetId="1">'Raw Data Dump'!$A$1:$A$38</definedName>
    <definedName name="ExternalData_98" localSheetId="1">'Raw Data Dump'!$B$1:$C$45</definedName>
    <definedName name="ExternalData_99" localSheetId="1">'Raw Data Dump'!$A$1:$A$38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8" i="1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xl2000="1" url="http://services.swpc.noaa.gov/text/ace-swepam.txt" htmlTables="1" htmlFormat="all"/>
  </connection>
  <connection id="2" name="Connection1" type="4" refreshedVersion="6" background="1" saveData="1">
    <webPr xl2000="1" url="ftp://ftp.swpc.noaa.gov/pub/lists/ace/ace_swepam_1m.txt" htmlTables="1" htmlFormat="all"/>
  </connection>
  <connection id="3" name="Connection10" type="4" refreshedVersion="6" background="1" saveData="1">
    <webPr xl2000="1" url="ftp://ftp.swpc.noaa.gov/pub/lists/ace2/201607_ace_swepam_1h.txt" htmlTables="1" htmlFormat="all"/>
  </connection>
  <connection id="4" name="Connection11" type="4" refreshedVersion="6" background="1" saveData="1">
    <webPr xl2000="1" url="http://services.swpc.noaa.gov/text/ace-swepam.txt" htmlTables="1" htmlFormat="all"/>
  </connection>
  <connection id="5" name="Connection12" type="4" refreshedVersion="6" background="1" saveData="1">
    <webPr xl2000="1" url="ftp://ftp.swpc.noaa.gov/pub/lists/ace/ace_swepam_1m.txt" htmlTables="1" htmlFormat="all"/>
  </connection>
  <connection id="6" name="Connection13" type="4" refreshedVersion="6" background="1" saveData="1">
    <webPr xl2000="1" url="ftp://ftp.swpc.noaa.gov/pub/lists/ace/ace_swepam_1m.txt" htmlTables="1" htmlFormat="all"/>
  </connection>
  <connection id="7" name="Connection14" type="4" refreshedVersion="6" background="1" saveData="1">
    <webPr xl2000="1" url="ftp://ftp.swpc.noaa.gov/pub/lists/ace/ace_swepam_1m.txt" htmlTables="1" htmlFormat="all"/>
  </connection>
  <connection id="8" name="Connection15" type="4" refreshedVersion="6" background="1" saveData="1">
    <webPr xl2000="1" url="ftp://ftp.swpc.noaa.gov/pub/lists/ace/ace_swepam_1m.txt" htmlTables="1" htmlFormat="all"/>
  </connection>
  <connection id="9" name="Connection16" type="4" refreshedVersion="6" background="1" saveData="1">
    <webPr xl2000="1" url="ftp://ftp.swpc.noaa.gov/pub/lists/ace/ace_swepam_1m.txt" htmlTables="1" htmlFormat="all"/>
  </connection>
  <connection id="10" name="Connection17" type="4" refreshedVersion="6" background="1" saveData="1">
    <webPr xl2000="1" url="ftp://ftp.swpc.noaa.gov/pub/lists/ace/ace_swepam_1m.txt" htmlTables="1" htmlFormat="all"/>
  </connection>
  <connection id="11" name="Connection18" type="4" refreshedVersion="6" background="1" saveData="1">
    <webPr xl2000="1" url="ftp://ftp.swpc.noaa.gov/pub/lists/ace/ace_swepam_1m.txt" htmlTables="1" htmlFormat="all"/>
  </connection>
  <connection id="12" name="Connection19" type="4" refreshedVersion="6" background="1" saveData="1">
    <webPr xl2000="1" url="http://services.swpc.noaa.gov/text/ace-swepam.txt" htmlTables="1" htmlFormat="all"/>
  </connection>
  <connection id="13" name="Connection2" type="4" refreshedVersion="6" background="1" saveData="1">
    <webPr xl2000="1" url="ftp://ftp.swpc.noaa.gov/pub/lists/ace2/201607_ace_swepam_1h.txt" htmlTables="1" htmlFormat="all"/>
  </connection>
  <connection id="14" name="Connection20" type="4" refreshedVersion="6" background="1" saveData="1">
    <webPr xl2000="1" url="http://services.swpc.noaa.gov/text/ace-swepam.txt" htmlTables="1" htmlFormat="all"/>
  </connection>
  <connection id="15" name="Connection21" type="4" refreshedVersion="6" background="1" saveData="1">
    <webPr xl2000="1" url="http://services.swpc.noaa.gov/text/ace-swepam.txt" htmlTables="1" htmlFormat="all"/>
  </connection>
  <connection id="16" name="Connection22" type="4" refreshedVersion="6" background="1" saveData="1">
    <webPr xl2000="1" url="http://services.swpc.noaa.gov/text/ace-swepam.txt" htmlTables="1" htmlFormat="all"/>
  </connection>
  <connection id="17" name="Connection23" type="4" refreshedVersion="6" background="1" saveData="1">
    <webPr xl2000="1" url="ftp://ftp.swpc.noaa.gov/pub/lists/ace2/201607_ace_swepam_1h.txt" htmlTables="1" htmlFormat="all"/>
  </connection>
  <connection id="18" name="Connection24" type="4" refreshedVersion="6" background="1" saveData="1">
    <webPr xl2000="1" url="http://services.swpc.noaa.gov/text/ace-swepam.txt" htmlTables="1" htmlFormat="all"/>
  </connection>
  <connection id="19" name="Connection25" type="4" refreshedVersion="6" background="1" saveData="1">
    <webPr xl2000="1" url="http://services.swpc.noaa.gov/text/ace-swepam.txt" htmlTables="1" htmlFormat="all"/>
  </connection>
  <connection id="20" name="Connection26" type="4" refreshedVersion="6" background="1" saveData="1">
    <webPr xl2000="1" url="http://services.swpc.noaa.gov/text/ace-swepam.txt" htmlTables="1" htmlFormat="all"/>
  </connection>
  <connection id="21" name="Connection27" type="4" refreshedVersion="6" background="1" saveData="1">
    <webPr xl2000="1" url="http://services.swpc.noaa.gov/text/ace-swepam.txt" htmlTables="1" htmlFormat="all"/>
  </connection>
  <connection id="22" name="Connection28" type="4" refreshedVersion="6" background="1" saveData="1">
    <webPr xl2000="1" url="ftp://ftp.swpc.noaa.gov/pub/lists/ace/ace_swepam_1m.txt" htmlTables="1" htmlFormat="all"/>
  </connection>
  <connection id="23" name="Connection29" type="4" refreshedVersion="6" background="1" saveData="1">
    <webPr xl2000="1" url="ftp://ftp.swpc.noaa.gov/pub/lists/ace/ace_swepam_1m.txt" htmlTables="1" htmlFormat="all"/>
  </connection>
  <connection id="24" name="Connection3" type="4" refreshedVersion="6" background="1" saveData="1">
    <webPr xl2000="1" url="ftp://ftp.swpc.noaa.gov/pub/lists/ace2/201607_ace_swepam_1h.txt" htmlTables="1" htmlFormat="all"/>
  </connection>
  <connection id="25" name="Connection30" type="4" refreshedVersion="6" background="1" saveData="1">
    <webPr xl2000="1" url="http://services.swpc.noaa.gov/text/ace-swepam.txt" htmlTables="1" htmlFormat="all"/>
  </connection>
  <connection id="26" name="Connection31" type="4" refreshedVersion="6" background="1" saveData="1">
    <webPr xl2000="1" url="ftp://ftp.swpc.noaa.gov/pub/lists/ace2/201607_ace_swepam_1h.txt" htmlTables="1" htmlFormat="all"/>
  </connection>
  <connection id="27" name="Connection32" type="4" refreshedVersion="6" background="1" saveData="1">
    <webPr xl2000="1" url="http://services.swpc.noaa.gov/text/ace-swepam.txt" htmlTables="1" htmlFormat="all"/>
  </connection>
  <connection id="28" name="Connection33" type="4" refreshedVersion="6" background="1" saveData="1">
    <webPr xl2000="1" url="http://services.swpc.noaa.gov/text/ace-swepam.txt" htmlTables="1" htmlFormat="all"/>
  </connection>
  <connection id="29" name="Connection34" type="4" refreshedVersion="6" background="1" saveData="1">
    <webPr xl2000="1" url="http://data.hisparc.nl/show/source/eventtime/14004/2016/6/30" htmlTables="1" htmlFormat="all"/>
  </connection>
  <connection id="30" name="Connection35" type="4" refreshedVersion="6" background="1" saveData="1">
    <webPr xl2000="1" url="http://data.hisparc.nl/show/source/eventtime/14004/2016/6/30" htmlTables="1" htmlFormat="all"/>
  </connection>
  <connection id="31" name="Connection36" type="4" refreshedVersion="6" background="1" saveData="1">
    <webPr xl2000="1" url="ftp://ftp.swpc.noaa.gov/pub/lists/ace2/201607_ace_swepam_1h.txt" htmlTables="1" htmlFormat="all"/>
  </connection>
  <connection id="32" name="Connection37" type="4" refreshedVersion="6" background="1" saveData="1">
    <webPr xl2000="1" url="http://data.hisparc.nl/show/source/eventtime/14004/2016/6/30" htmlTables="1" htmlFormat="all"/>
  </connection>
  <connection id="33" name="Connection38" type="4" refreshedVersion="6" background="1" saveData="1">
    <webPr xl2000="1" url="http://services.swpc.noaa.gov/text/ace-swepam.txt" htmlTables="1" htmlFormat="all"/>
  </connection>
  <connection id="34" name="Connection39" type="4" refreshedVersion="6" background="1" saveData="1">
    <webPr xl2000="1" url="http://services.swpc.noaa.gov/text/ace-swepam.txt" htmlTables="1" htmlFormat="all"/>
  </connection>
  <connection id="35" name="Connection4" type="4" refreshedVersion="6" background="1" saveData="1">
    <webPr xl2000="1" url="ftp://ftp.swpc.noaa.gov/pub/lists/ace2/201607_ace_swepam_1h.txt" htmlTables="1" htmlFormat="all"/>
  </connection>
  <connection id="36" name="Connection40" type="4" refreshedVersion="6" background="1" saveData="1">
    <webPr xl2000="1" url="http://services.swpc.noaa.gov/text/ace-swepam.txt" htmlTables="1" htmlFormat="all"/>
  </connection>
  <connection id="37" name="Connection41" type="4" refreshedVersion="6" background="1" saveData="1">
    <webPr xl2000="1" url="http://services.swpc.noaa.gov/text/ace-swepam.txt" htmlTables="1" htmlFormat="all"/>
  </connection>
  <connection id="38" name="Connection42" type="4" refreshedVersion="6" background="1" saveData="1">
    <webPr xl2000="1" url="http://services.swpc.noaa.gov/text/ace-swepam.txt" htmlTables="1" htmlFormat="all"/>
  </connection>
  <connection id="39" name="Connection43" type="4" refreshedVersion="6" background="1" saveData="1">
    <webPr xl2000="1" url="http://services.swpc.noaa.gov/text/ace-swepam.txt" htmlTables="1" htmlFormat="all"/>
  </connection>
  <connection id="40" name="Connection44" type="4" refreshedVersion="6" background="1" saveData="1">
    <webPr xl2000="1" url="http://services.swpc.noaa.gov/text/ace-swepam.txt" htmlTables="1" htmlFormat="all"/>
  </connection>
  <connection id="41" name="Connection45" type="4" refreshedVersion="6" background="1" saveData="1">
    <webPr xl2000="1" url="ftp://ftp.swpc.noaa.gov/pub/lists/ace2/201607_ace_swepam_1h.txt" htmlTables="1" htmlFormat="all"/>
  </connection>
  <connection id="42" name="Connection46" type="4" refreshedVersion="6" background="1" saveData="1">
    <webPr xl2000="1" url="http://data.hisparc.nl/show/source/eventtime/14004/2016/6/30" htmlTables="1" htmlFormat="all"/>
  </connection>
  <connection id="43" name="Connection47" type="4" refreshedVersion="6" background="1" saveData="1">
    <webPr xl2000="1" url="http://data.hisparc.nl/show/source/eventtime/14004/2016/6/30" htmlTables="1" htmlFormat="all"/>
  </connection>
  <connection id="44" name="Connection48" type="4" refreshedVersion="6" background="1" saveData="1">
    <webPr xl2000="1" url="ftp://ftp.swpc.noaa.gov/pub/lists/ace2/201607_ace_swepam_1h.txt" htmlTables="1" htmlFormat="all"/>
  </connection>
  <connection id="45" name="Connection49" type="4" refreshedVersion="6" background="1" saveData="1">
    <webPr xl2000="1" url="ftp://ftp.swpc.noaa.gov/pub/lists/ace2/201607_ace_swepam_1h.txt" htmlTables="1" htmlFormat="all"/>
  </connection>
  <connection id="46" name="Connection5" type="4" refreshedVersion="6" background="1" saveData="1">
    <webPr xl2000="1" url="ftp://ftp.swpc.noaa.gov/pub/lists/ace2/201607_ace_swepam_1h.txt" htmlTables="1" htmlFormat="all"/>
  </connection>
  <connection id="47" name="Connection50" type="4" refreshedVersion="6" background="1" saveData="1">
    <webPr xl2000="1" url="ftp://ftp.swpc.noaa.gov/pub/lists/ace2/201607_ace_swepam_1h.txt" htmlTables="1" htmlFormat="all"/>
  </connection>
  <connection id="48" name="Connection51" type="4" refreshedVersion="6" background="1" saveData="1">
    <webPr xl2000="1" url="http://data.hisparc.nl/show/source/eventtime/14004/2016/6/30" htmlTables="1" htmlFormat="all"/>
  </connection>
  <connection id="49" name="Connection52" type="4" refreshedVersion="6" background="1" saveData="1">
    <webPr xl2000="1" url="http://data.hisparc.nl/show/source/eventtime/14004/2016/6/29" htmlTables="1" htmlFormat="all"/>
  </connection>
  <connection id="50" name="Connection53" type="4" refreshedVersion="6" background="1" saveData="1">
    <webPr xl2000="1" url="http://data.hisparc.nl/show/source/eventtime/14004/2016/6/30" htmlTables="1" htmlFormat="all"/>
  </connection>
  <connection id="51" name="Connection54" type="4" refreshedVersion="6" background="1" saveData="1">
    <webPr xl2000="1" url="ftp://ftp.swpc.noaa.gov/pub/lists/ace2/201607_ace_swepam_1h.txt" htmlTables="1" htmlFormat="all"/>
  </connection>
  <connection id="52" name="Connection55" type="4" refreshedVersion="6" background="1" saveData="1">
    <webPr xl2000="1" url="http://data.hisparc.nl/show/source/eventtime/14004/2016/6/30" htmlTables="1" htmlFormat="all"/>
  </connection>
  <connection id="53" name="Connection56" type="4" refreshedVersion="6" background="1" saveData="1">
    <webPr xl2000="1" url="ftp://ftp.swpc.noaa.gov/pub/lists/ace2/201607_ace_swepam_1h.txt" htmlTables="1" htmlFormat="all"/>
  </connection>
  <connection id="54" name="Connection57" type="4" refreshedVersion="6" background="1" saveData="1">
    <webPr xl2000="1" url="http://data.hisparc.nl/show/source/eventtime/14004/2016/6/30" htmlTables="1" htmlFormat="all"/>
  </connection>
  <connection id="55" name="Connection58" type="4" refreshedVersion="6" background="1" saveData="1">
    <webPr xl2000="1" url="http://data.hisparc.nl/show/source/eventtime/14004/2016/6/30" htmlTables="1" htmlFormat="all"/>
  </connection>
  <connection id="56" name="Connection59" type="4" refreshedVersion="6" background="1" saveData="1">
    <webPr xl2000="1" url="ftp://ftp.swpc.noaa.gov/pub/lists/ace2/201607_ace_swepam_1h.txt" htmlTables="1" htmlFormat="all"/>
  </connection>
  <connection id="57" name="Connection6" type="4" refreshedVersion="6" background="1" saveData="1">
    <webPr xl2000="1" url="ftp://ftp.swpc.noaa.gov/pub/lists/ace2/201607_ace_swepam_1h.txt" htmlTables="1" htmlFormat="all"/>
  </connection>
  <connection id="58" name="Connection60" type="4" refreshedVersion="6" background="1" saveData="1">
    <webPr xl2000="1" url="http://data.hisparc.nl/show/source/eventtime/14004/2016/6/30" htmlTables="1" htmlFormat="all"/>
  </connection>
  <connection id="59" name="Connection61" type="4" refreshedVersion="6" background="1" saveData="1">
    <webPr xl2000="1" url="http://data.hisparc.nl/show/source/eventtime/14004/2016/6/30" htmlTables="1" htmlFormat="all"/>
  </connection>
  <connection id="60" name="Connection62" type="4" refreshedVersion="6" background="1" saveData="1">
    <webPr xl2000="1" url="http://data.hisparc.nl/show/source/eventtime/14004/2016/6/30" htmlTables="1" htmlFormat="all"/>
  </connection>
  <connection id="61" name="Connection63" type="4" refreshedVersion="6" background="1" saveData="1">
    <webPr xl2000="1" url="ftp://ftp.swpc.noaa.gov/pub/lists/ace2/201607_ace_swepam_1h.txt" htmlTables="1" htmlFormat="all"/>
  </connection>
  <connection id="62" name="Connection64" type="4" refreshedVersion="6" background="1" saveData="1">
    <webPr xl2000="1" url="http://data.hisparc.nl/show/source/eventtime/14004/2016/6/26" htmlTables="1" htmlFormat="all"/>
  </connection>
  <connection id="63" name="Connection65" type="4" refreshedVersion="6" background="1" saveData="1">
    <webPr xl2000="1" url="ftp://ftp.swpc.noaa.gov/pub/lists/ace2/201607_ace_swepam_1h.txt" htmlTables="1" htmlFormat="all"/>
  </connection>
  <connection id="64" name="Connection66" type="4" refreshedVersion="6" background="1" saveData="1">
    <webPr xl2000="1" url="http://data.hisparc.nl/show/source/eventtime/14004/2016/6/26" htmlTables="1" htmlFormat="all"/>
  </connection>
  <connection id="65" name="Connection67" type="4" refreshedVersion="6" background="1" saveData="1">
    <webPr xl2000="1" url="http://data.hisparc.nl/show/source/eventtime/14004/2016/6/26" htmlTables="1" htmlFormat="all"/>
  </connection>
  <connection id="66" name="Connection68" type="4" refreshedVersion="6" background="1" saveData="1">
    <webPr xl2000="1" url="http://data.hisparc.nl/show/source/eventtime/14004/2016/6/24" htmlTables="1" htmlFormat="all"/>
  </connection>
  <connection id="67" name="Connection69" type="4" refreshedVersion="6" background="1" saveData="1">
    <webPr xl2000="1" url="http://data.hisparc.nl/show/source/eventtime/14004/2016/6/23" htmlTables="1" htmlFormat="all"/>
  </connection>
  <connection id="68" name="Connection7" type="4" refreshedVersion="6" background="1" saveData="1">
    <webPr xl2000="1" url="ftp://ftp.swpc.noaa.gov/pub/lists/ace2/201607_ace_swepam_1h.txt" htmlTables="1" htmlFormat="all"/>
  </connection>
  <connection id="69" name="Connection70" type="4" refreshedVersion="6" background="1" saveData="1">
    <webPr xl2000="1" url="http://data.hisparc.nl/show/source/eventtime/14004/2016/6/19" htmlTables="1" htmlFormat="all"/>
  </connection>
  <connection id="70" name="Connection71" type="4" refreshedVersion="6" background="1" saveData="1">
    <webPr xl2000="1" url="http://data.hisparc.nl/show/source/eventtime/14004/2016/6/18" htmlTables="1" htmlFormat="all"/>
  </connection>
  <connection id="71" name="Connection72" type="4" refreshedVersion="6" background="1" saveData="1">
    <webPr xl2000="1" url="ftp://ftp.swpc.noaa.gov/pub/lists/ace2/201607_ace_swepam_1h.txt" htmlTables="1" htmlFormat="all"/>
  </connection>
  <connection id="72" name="Connection73" type="4" refreshedVersion="6" background="1" saveData="1">
    <webPr xl2000="1" url="http://data.hisparc.nl/show/source/eventtime/14004/2016/6/18" htmlTables="1" htmlFormat="all"/>
  </connection>
  <connection id="73" name="Connection74" type="4" refreshedVersion="6" background="1" saveData="1">
    <webPr xl2000="1" url="ftp://ftp.swpc.noaa.gov/pub/lists/ace2/201607_ace_swepam_1h.txt" htmlTables="1" htmlFormat="all"/>
  </connection>
  <connection id="74" name="Connection75" type="4" refreshedVersion="6" background="1" saveData="1">
    <webPr xl2000="1" url="http://data.hisparc.nl/show/source/eventtime/14004/2016/6/18" htmlTables="1" htmlFormat="all"/>
  </connection>
  <connection id="75" name="Connection76" type="4" refreshedVersion="6" background="1" saveData="1">
    <webPr xl2000="1" url="ftp://ftp.swpc.noaa.gov/pub/lists/ace2/201607_ace_swepam_1h.txt" htmlTables="1" htmlFormat="all"/>
  </connection>
  <connection id="76" name="Connection77" type="4" refreshedVersion="6" background="1" saveData="1">
    <webPr xl2000="1" url="http://data.hisparc.nl/show/source/eventtime/14004/2016/6/18" htmlTables="1" htmlFormat="all"/>
  </connection>
  <connection id="77" name="Connection8" type="4" refreshedVersion="6" background="1" saveData="1">
    <webPr xl2000="1" url="ftp://ftp.swpc.noaa.gov/pub/lists/ace2/201607_ace_swepam_1h.txt" htmlTables="1" htmlFormat="all"/>
  </connection>
  <connection id="78" name="Connection9" type="4" refreshedVersion="6" background="1" saveData="1">
    <webPr xl2000="1" url="ftp://ftp.swpc.noaa.gov/pub/lists/ace/ace_swepam_1m.txt" htmlTables="1" htmlFormat="all"/>
  </connection>
</connections>
</file>

<file path=xl/sharedStrings.xml><?xml version="1.0" encoding="utf-8"?>
<sst xmlns="http://schemas.openxmlformats.org/spreadsheetml/2006/main" count="701" uniqueCount="382">
  <si>
    <t>URL of solar wind file</t>
  </si>
  <si>
    <t>Solar Wind and Cosmic Ray Detection Data Comparison</t>
  </si>
  <si>
    <t># Prepared by the U.S. Dept. of Commerce, NOAA, Space Weather Prediction Center</t>
  </si>
  <si>
    <t xml:space="preserve"># Please send comments and suggestions to SWPC.Webmaster@noaa.gov </t>
  </si>
  <si>
    <t xml:space="preserve"># </t>
  </si>
  <si>
    <t># Units: Proton density p/cc</t>
  </si>
  <si>
    <t># Units: Bulk speed km/s</t>
  </si>
  <si>
    <t># Units: Ion tempeture degrees K</t>
  </si>
  <si>
    <t># Status(S): 0 = nominal data, 1 to 8 = bad data record, 9 = no data</t>
  </si>
  <si>
    <t># Missing data values: Density and Speed = -9999.9, Temp. = -1.00e+05</t>
  </si>
  <si>
    <t># Source: ACE Satellite - Solar Wind Electron Proton Alpha Monitor</t>
  </si>
  <si>
    <t>#</t>
  </si>
  <si>
    <t>#                Modified Seconds   -------------  Solar Wind  -----------</t>
  </si>
  <si>
    <t># UT Date   Time  Julian  of the          Proton      Bulk         Ion</t>
  </si>
  <si>
    <t># YR MO DA  HHMM    Day     Day     S    Density     Speed     Temperature</t>
  </si>
  <si>
    <t>#-------------------------------------------------------------------------</t>
  </si>
  <si>
    <t xml:space="preserve"> </t>
  </si>
  <si>
    <t>2016 07 01</t>
  </si>
  <si>
    <t>UT Date</t>
  </si>
  <si>
    <t>Time</t>
  </si>
  <si>
    <t>Seconds of the Day</t>
  </si>
  <si>
    <t>S</t>
  </si>
  <si>
    <t>Proton Density</t>
  </si>
  <si>
    <t>Bulk Speed</t>
  </si>
  <si>
    <t>Ion Temperature</t>
  </si>
  <si>
    <t>Modified Julian Day</t>
  </si>
  <si>
    <t>ftp://ftp.swpc.noaa.gov/pub/lists/ace2/201607_ace_swepam_1h.txt</t>
  </si>
  <si>
    <t>:Product: 201607_ace_swepam_1h.txt</t>
  </si>
  <si>
    <t>#   Hourly Averaged Real-time Bulk Parameters of the Solar Wind Plasma</t>
  </si>
  <si>
    <t>2016 07 01  0000   57570       0    0       12.2      374.5     4.31e+04</t>
  </si>
  <si>
    <t>2016 07 01  0100   57570    3600    3    -9999.9    -9999.9    -1.00e+05</t>
  </si>
  <si>
    <t>2016 07 01  0200   57570    7200    0        5.5      404.4     1.36e+05</t>
  </si>
  <si>
    <t>2016 07 01  0300   57570   10800    0        7.0      396.4     1.13e+05</t>
  </si>
  <si>
    <t>2016 07 01  0400   57570   14400    0        6.2      397.0     9.48e+04</t>
  </si>
  <si>
    <t>2016 07 01  0500   57570   18000    0        4.6      402.4     1.24e+05</t>
  </si>
  <si>
    <t>2016 07 01  0600   57570   21600    0        3.6      403.8     1.15e+05</t>
  </si>
  <si>
    <t>2016 07 01  0700   57570   25200    0        4.6      397.5     1.13e+05</t>
  </si>
  <si>
    <t>2016 07 01  0800   57570   28800    0        3.6      397.0     1.10e+05</t>
  </si>
  <si>
    <t>2016 07 01  0900   57570   32400    0        5.9      410.8     9.65e+04</t>
  </si>
  <si>
    <t>2016 07 01  1000   57570   36000    0        4.7      416.3     9.52e+04</t>
  </si>
  <si>
    <t>2016 07 01  1100   57570   39600    0        5.1      410.2     9.23e+04</t>
  </si>
  <si>
    <t>2016 07 01  1200   57570   43200    0        4.7      389.5     9.14e+04</t>
  </si>
  <si>
    <t>2016 07 01  1300   57570   46800    0        4.7      395.3     8.21e+04</t>
  </si>
  <si>
    <t>2016 07 01  1400   57570   50400    0        4.3      385.7     8.35e+04</t>
  </si>
  <si>
    <t>2016 07 01  1500   57570   54000    0        4.1      394.3     6.59e+04</t>
  </si>
  <si>
    <t>2016 07 01  1600   57570   57600    0        3.7      385.9     6.77e+04</t>
  </si>
  <si>
    <t>Date of cosmic ray activity</t>
  </si>
  <si>
    <t># HiSPARC eventtime histogram source</t>
  </si>
  <si>
    <t># Station: 14004</t>
  </si>
  <si>
    <t># HiSPARC data is licensed under Creative Commons Attribution-ShareAlike 4.0.</t>
  </si>
  <si>
    <t># Please note: the 'bin' is the left bin edge. The width of the bin is 1</t>
  </si>
  <si>
    <t># hour.  So bin 0 means between 0:00 and 1:00. Value means the number of</t>
  </si>
  <si>
    <t># events which were measured during 1 hour.</t>
  </si>
  <si>
    <t># This data contains the following columns:</t>
  </si>
  <si>
    <t># bin:   time [hour of day]</t>
  </si>
  <si>
    <t># value: number of events [counts]</t>
  </si>
  <si>
    <t># bin</t>
  </si>
  <si>
    <t>value</t>
  </si>
  <si>
    <t>Hour of Day</t>
  </si>
  <si>
    <t>Count</t>
  </si>
  <si>
    <t>2016 07 01  1700   57570   61200    0        3.7      380.9     6.13e+04</t>
  </si>
  <si>
    <t>Equivalent Time</t>
  </si>
  <si>
    <t>2016 07 01  1800   57570   64800    0        3.8      386.5     4.94e+04</t>
  </si>
  <si>
    <t># Data from 2016-6-18</t>
  </si>
  <si>
    <t>:Issued: 2016 Jul 14 1110 UT</t>
  </si>
  <si>
    <t>2016 07 01  1900   57570   68400    0        4.3      391.0     5.72e+04</t>
  </si>
  <si>
    <t>2016 07 01  2000   57570   72000    0        3.6      383.3     5.30e+04</t>
  </si>
  <si>
    <t>2016 07 01  2100   57570   75600    1        3.6      376.9     5.06e+04</t>
  </si>
  <si>
    <t>2016 07 01  2200   57570   79200    0        2.8      380.5     5.18e+04</t>
  </si>
  <si>
    <t>2016 07 01  2300   57570   82800    0        4.0      374.3     5.85e+04</t>
  </si>
  <si>
    <t>2016 07 02  0000   57571       0    0        4.7      381.4     4.20e+04</t>
  </si>
  <si>
    <t>2016 07 02  0100   57571    3600    0        5.0      389.1     3.41e+04</t>
  </si>
  <si>
    <t>2016 07 02  0200   57571    7200    0        4.5      382.4     3.46e+04</t>
  </si>
  <si>
    <t>2016 07 02  0300   57571   10800    0        4.5      371.4     2.97e+04</t>
  </si>
  <si>
    <t>2016 07 02  0400   57571   14400    3    -9999.9    -9999.9    -1.00e+05</t>
  </si>
  <si>
    <t>2016 07 02  0500   57571   18000    0        4.2      366.4     3.31e+04</t>
  </si>
  <si>
    <t>2016 07 02  0600   57571   21600    0        4.9      365.6     2.80e+04</t>
  </si>
  <si>
    <t>2016 07 02  0700   57571   25200    0        5.2      359.4     2.37e+04</t>
  </si>
  <si>
    <t>2016 07 02  0800   57571   28800    0        4.8      354.0     3.45e+04</t>
  </si>
  <si>
    <t>2016 07 02  0900   57571   32400    0        6.8      352.4     2.77e+04</t>
  </si>
  <si>
    <t>2016 07 02  1000   57571   36000    0       10.9      350.8     1.67e+04</t>
  </si>
  <si>
    <t>2016 07 02  1100   57571   39600    0       12.3      348.4     1.29e+04</t>
  </si>
  <si>
    <t>2016 07 02  1200   57571   43200    0        8.8      345.1     1.55e+04</t>
  </si>
  <si>
    <t>2016 07 02  1300   57571   46800    0       12.1      343.9     1.28e+04</t>
  </si>
  <si>
    <t>2016 07 02  1400   57571   50400    0       17.3      347.4     1.38e+04</t>
  </si>
  <si>
    <t>2016 07 02  1500   57571   54000    3    -9999.9    -9999.9    -1.00e+05</t>
  </si>
  <si>
    <t>2016 07 02  1600   57571   57600    0       21.3      345.0     1.56e+04</t>
  </si>
  <si>
    <t>2016 07 02  1700   57571   61200    0       31.5      350.4     2.20e+04</t>
  </si>
  <si>
    <t>2016 07 02  1800   57571   64800    0       38.1      359.1     3.06e+04</t>
  </si>
  <si>
    <t>2016 07 02  1900   57571   68400    0       35.1      365.2     3.52e+04</t>
  </si>
  <si>
    <t>2016 07 02  2000   57571   72000    0       30.8      378.7     6.28e+04</t>
  </si>
  <si>
    <t>2016 07 02  2100   57571   75600    0       29.8      389.6     6.93e+04</t>
  </si>
  <si>
    <t>2016 07 02  2200   57571   79200    0       18.7      401.2     1.50e+05</t>
  </si>
  <si>
    <t>2016 07 02  2300   57571   82800    0        6.8      414.7     2.32e+05</t>
  </si>
  <si>
    <t>2016 07 03  0000   57572       0    1        7.3      409.9     2.26e+05</t>
  </si>
  <si>
    <t>2016 07 03  0100   57572    3600    0        7.5      436.9     2.56e+05</t>
  </si>
  <si>
    <t>2016 07 03  0200   57572    7200    0        6.8      460.0     2.87e+05</t>
  </si>
  <si>
    <t>2016 07 03  0300   57572   10800    1        5.7      457.8     1.58e+05</t>
  </si>
  <si>
    <t>2016 07 03  0400   57572   14400    0        6.2      448.3     1.24e+05</t>
  </si>
  <si>
    <t>2016 07 03  0500   57572   18000    1        6.9      462.5     1.94e+05</t>
  </si>
  <si>
    <t>2016 07 03  0600   57572   21600    0        5.1      459.3     1.22e+05</t>
  </si>
  <si>
    <t>2016 07 03  0700   57572   25200    0        6.3      455.8     1.22e+05</t>
  </si>
  <si>
    <t>2016 07 03  0800   57572   28800    0        6.5      447.7     1.01e+05</t>
  </si>
  <si>
    <t>2016 07 03  0900   57572   32400    0        5.3      449.8     1.10e+05</t>
  </si>
  <si>
    <t>2016 07 03  1000   57572   36000    1        5.0      451.5     1.46e+05</t>
  </si>
  <si>
    <t>2016 07 03  1100   57572   39600    0        4.8      453.7     1.31e+05</t>
  </si>
  <si>
    <t>2016 07 03  1200   57572   43200    0        5.8      454.5     1.37e+05</t>
  </si>
  <si>
    <t>2016 07 03  1300   57572   46800    0        6.2      450.2     1.20e+05</t>
  </si>
  <si>
    <t>2016 07 03  1400   57572   50400    0        5.7      446.1     1.08e+05</t>
  </si>
  <si>
    <t>2016 07 03  1500   57572   54000    1        5.7      448.4     1.41e+05</t>
  </si>
  <si>
    <t>2016 07 03  1600   57572   57600    1        5.9      459.9     1.65e+05</t>
  </si>
  <si>
    <t>2016 07 03  1700   57572   61200    0        5.7      452.3     1.57e+05</t>
  </si>
  <si>
    <t>2016 07 03  1800   57572   64800    0        6.0      457.1     1.46e+05</t>
  </si>
  <si>
    <t>2016 07 03  1900   57572   68400    0        5.1      468.0     1.33e+05</t>
  </si>
  <si>
    <t>2016 07 03  2000   57572   72000    0        5.9      444.2     1.40e+05</t>
  </si>
  <si>
    <t>2016 07 03  2100   57572   75600    1        5.9      450.3     1.43e+05</t>
  </si>
  <si>
    <t>2016 07 03  2200   57572   79200    0        5.6      453.9     1.21e+05</t>
  </si>
  <si>
    <t>2016 07 03  2300   57572   82800    0        4.9      452.8     1.16e+05</t>
  </si>
  <si>
    <t>2016 07 04  0000   57573       0    0        4.6      443.0     9.47e+04</t>
  </si>
  <si>
    <t>2016 07 04  0100   57573    3600    0        4.5      442.2     9.85e+04</t>
  </si>
  <si>
    <t>2016 07 04  0200   57573    7200    0        5.1      444.8     8.33e+04</t>
  </si>
  <si>
    <t>2016 07 04  0300   57573   10800    1        4.5      454.4     9.52e+04</t>
  </si>
  <si>
    <t>2016 07 04  0400   57573   14400    1        3.5      445.9     9.18e+04</t>
  </si>
  <si>
    <t>2016 07 04  0500   57573   18000    0        4.0      441.4     7.40e+04</t>
  </si>
  <si>
    <t>2016 07 04  0600   57573   21600    0        3.9      441.5     8.62e+04</t>
  </si>
  <si>
    <t>2016 07 04  0700   57573   25200    0        4.0      435.5     8.24e+04</t>
  </si>
  <si>
    <t>2016 07 04  0800   57573   28800    0        4.0      430.7     8.02e+04</t>
  </si>
  <si>
    <t>2016 07 04  0900   57573   32400    0        4.1      436.0     7.05e+04</t>
  </si>
  <si>
    <t>2016 07 04  1000   57573   36000    3    -9999.9    -9999.9    -1.00e+05</t>
  </si>
  <si>
    <t>2016 07 04  1100   57573   39600    0        4.0      431.0     6.14e+04</t>
  </si>
  <si>
    <t>2016 07 04  1200   57573   43200    0        3.5      423.2     5.65e+04</t>
  </si>
  <si>
    <t>2016 07 04  1300   57573   46800    0        3.9      415.5     6.44e+04</t>
  </si>
  <si>
    <t>2016 07 04  1400   57573   50400    0        3.7      411.7     7.57e+04</t>
  </si>
  <si>
    <t>2016 07 04  1500   57573   54000    0        3.7      410.7     9.20e+04</t>
  </si>
  <si>
    <t>2016 07 04  1600   57573   57600    0        3.0      410.3     7.47e+04</t>
  </si>
  <si>
    <t>2016 07 04  1700   57573   61200    0        3.3      409.7     7.19e+04</t>
  </si>
  <si>
    <t>2016 07 04  1800   57573   64800    0        7.7      409.9     3.51e+04</t>
  </si>
  <si>
    <t>2016 07 04  1900   57573   68400    6        5.3      413.2     2.40e+04</t>
  </si>
  <si>
    <t>2016 07 04  2000   57573   72000    0        5.2      411.7     2.61e+04</t>
  </si>
  <si>
    <t>2016 07 04  2100   57573   75600    0        5.3      412.3     2.71e+04</t>
  </si>
  <si>
    <t>2016 07 04  2200   57573   79200    0        4.8      411.6     3.39e+04</t>
  </si>
  <si>
    <t>2016 07 04  2300   57573   82800    0        3.9      397.9     5.35e+04</t>
  </si>
  <si>
    <t>2016 07 05  0000   57574       0    0        4.4      401.7     3.67e+04</t>
  </si>
  <si>
    <t>2016 07 05  0100   57574    3600    0        4.4      397.7     3.13e+04</t>
  </si>
  <si>
    <t>2016 07 05  0200   57574    7200    0        6.0      389.2     3.92e+04</t>
  </si>
  <si>
    <t>2016 07 05  0300   57574   10800    0        4.3      384.2     4.72e+04</t>
  </si>
  <si>
    <t>2016 07 05  0400   57574   14400    0        4.6      379.7     4.14e+04</t>
  </si>
  <si>
    <t>2016 07 05  0500   57574   18000    0        4.3      380.6     4.03e+04</t>
  </si>
  <si>
    <t>2016 07 05  0600   57574   21600    0        4.2      382.5     4.34e+04</t>
  </si>
  <si>
    <t>2016 07 05  0700   57574   25200    0        5.1      378.2     3.38e+04</t>
  </si>
  <si>
    <t>2016 07 05  0800   57574   28800    0        4.9      370.6     3.87e+04</t>
  </si>
  <si>
    <t>2016 07 05  0900   57574   32400    0        5.2      363.9     3.07e+04</t>
  </si>
  <si>
    <t>2016 07 05  1000   57574   36000    0        5.8      362.2     2.30e+04</t>
  </si>
  <si>
    <t>2016 07 05  1100   57574   39600    0        5.6      359.2     2.65e+04</t>
  </si>
  <si>
    <t>2016 07 05  1200   57574   43200    0        4.8      358.1     3.10e+04</t>
  </si>
  <si>
    <t>2016 07 05  1300   57574   46800    0        4.5      355.9     3.07e+04</t>
  </si>
  <si>
    <t>2016 07 05  1400   57574   50400    0        3.1      351.9     4.20e+04</t>
  </si>
  <si>
    <t>2016 07 05  1500   57574   54000    0        2.7      350.9     4.13e+04</t>
  </si>
  <si>
    <t>2016 07 05  1600   57574   57600    0        3.2      349.8     3.49e+04</t>
  </si>
  <si>
    <t>2016 07 05  1700   57574   61200    0        3.5      347.0     3.51e+04</t>
  </si>
  <si>
    <t>2016 07 05  1800   57574   64800    3    -9999.9    -9999.9    -1.00e+05</t>
  </si>
  <si>
    <t>2016 07 05  1900   57574   68400    0        2.8      340.8     4.01e+04</t>
  </si>
  <si>
    <t>2016 07 05  2000   57574   72000    0        2.6      339.3     4.44e+04</t>
  </si>
  <si>
    <t>2016 07 05  2100   57574   75600    0        2.7      335.8     4.10e+04</t>
  </si>
  <si>
    <t>2016 07 05  2200   57574   79200    0        3.0      334.7     4.21e+04</t>
  </si>
  <si>
    <t>2016 07 05  2300   57574   82800    0        3.3      333.8     4.30e+04</t>
  </si>
  <si>
    <t>2016 07 06  0000   57575       0    0        3.0      332.8     3.45e+04</t>
  </si>
  <si>
    <t>2016 07 06  0100   57575    3600    1        3.6      332.0     3.60e+04</t>
  </si>
  <si>
    <t>2016 07 06  0200   57575    7200    0        4.4      327.3     3.27e+04</t>
  </si>
  <si>
    <t>2016 07 06  0300   57575   10800    0        5.0      330.2     2.98e+04</t>
  </si>
  <si>
    <t>2016 07 06  0400   57575   14400    0        5.3      326.7     2.71e+04</t>
  </si>
  <si>
    <t>2016 07 06  0500   57575   18000    0        5.2      322.4     2.19e+04</t>
  </si>
  <si>
    <t>2016 07 06  0600   57575   21600    0        5.7      322.7     2.04e+04</t>
  </si>
  <si>
    <t>2016 07 06  0700   57575   25200    0        4.5      321.4     2.00e+04</t>
  </si>
  <si>
    <t>2016 07 06  0800   57575   28800    0        4.6      319.6     1.67e+04</t>
  </si>
  <si>
    <t>2016 07 06  0900   57575   32400    0        4.9      319.8     1.70e+04</t>
  </si>
  <si>
    <t>2016 07 06  1000   57575   36000    0        5.0      320.2     1.86e+04</t>
  </si>
  <si>
    <t>2016 07 06  1100   57575   39600    0        5.1      321.3     1.90e+04</t>
  </si>
  <si>
    <t>2016 07 06  1200   57575   43200    0        5.7      322.2     1.90e+04</t>
  </si>
  <si>
    <t>2016 07 06  1300   57575   46800    0        6.1      320.5     2.13e+04</t>
  </si>
  <si>
    <t>2016 07 06  1400   57575   50400    0        6.2      316.6     1.89e+04</t>
  </si>
  <si>
    <t>2016 07 06  1500   57575   54000    0        6.7      314.8     2.14e+04</t>
  </si>
  <si>
    <t>2016 07 06  1600   57575   57600    0        8.3      312.5     2.68e+04</t>
  </si>
  <si>
    <t>2016 07 06  1700   57575   61200    0        8.3      314.7     2.80e+04</t>
  </si>
  <si>
    <t>2016 07 06  1800   57575   64800    0        7.7      308.9     2.35e+04</t>
  </si>
  <si>
    <t>2016 07 06  1900   57575   68400    0        7.9      310.5     2.63e+04</t>
  </si>
  <si>
    <t>2016 07 06  2000   57575   72000    1       11.6      313.0     3.32e+04</t>
  </si>
  <si>
    <t>2016 07 06  2100   57575   75600    0       18.5      320.8     3.75e+04</t>
  </si>
  <si>
    <t>2016 07 06  2200   57575   79200    0       16.6      321.2     3.38e+04</t>
  </si>
  <si>
    <t>2016 07 06  2300   57575   82800    0       23.5      329.2     3.43e+04</t>
  </si>
  <si>
    <t>2016 07 07  0000   57576       0    0       25.8      341.6     4.49e+04</t>
  </si>
  <si>
    <t>2016 07 07  0100   57576    3600    0       12.1      378.1     9.03e+04</t>
  </si>
  <si>
    <t>2016 07 07  0200   57576    7200    0       12.8      391.2     1.37e+05</t>
  </si>
  <si>
    <t>2016 07 07  0300   57576   10800    0       12.0      398.9     1.51e+05</t>
  </si>
  <si>
    <t>2016 07 07  0400   57576   14400    0       11.4      404.2     1.38e+05</t>
  </si>
  <si>
    <t>2016 07 07  0500   57576   18000    0       11.2      414.1     1.28e+05</t>
  </si>
  <si>
    <t>2016 07 07  0600   57576   21600    1        8.8      414.6     1.51e+05</t>
  </si>
  <si>
    <t>2016 07 07  0700   57576   25200    0        9.3      419.5     1.39e+05</t>
  </si>
  <si>
    <t>2016 07 07  0800   57576   28800    3    -9999.9    -9999.9    -1.00e+05</t>
  </si>
  <si>
    <t>2016 07 07  0900   57576   32400    0       11.0      413.3     9.22e+04</t>
  </si>
  <si>
    <t>2016 07 07  1000   57576   36000    1       11.8      418.8     1.34e+05</t>
  </si>
  <si>
    <t>2016 07 07  1100   57576   39600    0       11.8      418.3     1.31e+05</t>
  </si>
  <si>
    <t>2016 07 07  1200   57576   43200    0       12.1      425.3     1.57e+05</t>
  </si>
  <si>
    <t>2016 07 07  1300   57576   46800    1        8.0      459.4     2.18e+05</t>
  </si>
  <si>
    <t>2016 07 07  1400   57576   50400    0       10.0      453.1     2.02e+05</t>
  </si>
  <si>
    <t>2016 07 07  1500   57576   54000    1        7.9      483.6     2.62e+05</t>
  </si>
  <si>
    <t>2016 07 07  1600   57576   57600    0        4.4      507.6     3.09e+05</t>
  </si>
  <si>
    <t>2016 07 07  1700   57576   61200    0        4.9      495.4     2.67e+05</t>
  </si>
  <si>
    <t>2016 07 07  1800   57576   64800    0        8.5      512.0     2.99e+05</t>
  </si>
  <si>
    <t>2016 07 07  1900   57576   68400    0        4.6      498.4     2.78e+05</t>
  </si>
  <si>
    <t>2016 07 07  2000   57576   72000    0        7.2      488.1     2.50e+05</t>
  </si>
  <si>
    <t>2016 07 07  2100   57576   75600    0        7.3      497.6     2.49e+05</t>
  </si>
  <si>
    <t>2016 07 07  2200   57576   79200    1        5.7      482.2     2.04e+05</t>
  </si>
  <si>
    <t>2016 07 07  2300   57576   82800    0        8.3      519.6     2.11e+05</t>
  </si>
  <si>
    <t>2016 07 08  0000   57577       0    1        6.1      496.9     1.84e+05</t>
  </si>
  <si>
    <t>2016 07 08  0100   57577    3600    0        5.1      515.3     2.12e+05</t>
  </si>
  <si>
    <t>2016 07 08  0200   57577    7200    0        5.1      526.1     2.28e+05</t>
  </si>
  <si>
    <t>2016 07 08  0300   57577   10800    0        4.3      539.7     1.85e+05</t>
  </si>
  <si>
    <t>2016 07 08  0400   57577   14400    0        4.4      552.1     1.80e+05</t>
  </si>
  <si>
    <t>2016 07 08  0500   57577   18000    3    -9999.9    -9999.9    -1.00e+05</t>
  </si>
  <si>
    <t>2016 07 08  0600   57577   21600    1        3.7      578.2     2.22e+05</t>
  </si>
  <si>
    <t>2016 07 08  0700   57577   25200    0        4.2      586.6     2.49e+05</t>
  </si>
  <si>
    <t>2016 07 08  0800   57577   28800    0        3.9      597.8     2.32e+05</t>
  </si>
  <si>
    <t>2016 07 08  0900   57577   32400    0        4.0      591.8     2.46e+05</t>
  </si>
  <si>
    <t>2016 07 08  1000   57577   36000    1        4.2      599.9     2.19e+05</t>
  </si>
  <si>
    <t>2016 07 08  1100   57577   39600    1        3.1      531.0     1.76e+05</t>
  </si>
  <si>
    <t>2016 07 08  1200   57577   43200    0        3.7      507.5     1.68e+05</t>
  </si>
  <si>
    <t>2016 07 08  1300   57577   46800    1        3.5      526.1     1.38e+05</t>
  </si>
  <si>
    <t>2016 07 08  1400   57577   50400    0        3.7      511.0     1.52e+05</t>
  </si>
  <si>
    <t>2016 07 08  1500   57577   54000    0        3.3      548.2     2.23e+05</t>
  </si>
  <si>
    <t>2016 07 08  1600   57577   57600    3    -9999.9    -9999.9    -1.00e+05</t>
  </si>
  <si>
    <t>2016 07 08  1700   57577   61200    1        3.5      586.0     2.93e+05</t>
  </si>
  <si>
    <t>2016 07 08  1800   57577   64800    0        3.8      580.0     2.63e+05</t>
  </si>
  <si>
    <t>2016 07 08  1900   57577   68400    0        3.1      596.2     2.71e+05</t>
  </si>
  <si>
    <t>2016 07 08  2000   57577   72000    0        2.7      595.8     2.35e+05</t>
  </si>
  <si>
    <t>2016 07 08  2100   57577   75600    0        3.0      588.7     2.61e+05</t>
  </si>
  <si>
    <t>2016 07 08  2200   57577   79200    0        4.1      608.5     2.15e+05</t>
  </si>
  <si>
    <t>2016 07 08  2300   57577   82800    0        3.6      618.0     2.49e+05</t>
  </si>
  <si>
    <t>2016 07 09  0000   57578       0    0        3.8      609.4     2.44e+05</t>
  </si>
  <si>
    <t>2016 07 09  0100   57578    3600    0        3.3      612.1     2.95e+05</t>
  </si>
  <si>
    <t>2016 07 09  0200   57578    7200    0        3.5      629.6     2.24e+05</t>
  </si>
  <si>
    <t>2016 07 09  0300   57578   10800    1        3.6      612.4     2.80e+05</t>
  </si>
  <si>
    <t>2016 07 09  0400   57578   14400    0        4.0      601.7     2.35e+05</t>
  </si>
  <si>
    <t>2016 07 09  0500   57578   18000    0        3.8      614.2     2.50e+05</t>
  </si>
  <si>
    <t>2016 07 09  0600   57578   21600    0        3.8      609.7     1.85e+05</t>
  </si>
  <si>
    <t>2016 07 09  0700   57578   25200    0        3.8      593.2     1.82e+05</t>
  </si>
  <si>
    <t>2016 07 09  0800   57578   28800    0        3.3      603.5     2.07e+05</t>
  </si>
  <si>
    <t>2016 07 09  0900   57578   32400    0        3.3      578.8     1.97e+05</t>
  </si>
  <si>
    <t>2016 07 09  1000   57578   36000    1        2.6      599.7     2.81e+05</t>
  </si>
  <si>
    <t>2016 07 09  1100   57578   39600    0        2.6      622.3     3.87e+05</t>
  </si>
  <si>
    <t>2016 07 09  1200   57578   43200    0        2.8      626.7     3.40e+05</t>
  </si>
  <si>
    <t>2016 07 09  1300   57578   46800    0        2.7      615.0     3.36e+05</t>
  </si>
  <si>
    <t>2016 07 09  1400   57578   50400    0        2.4      632.9     3.31e+05</t>
  </si>
  <si>
    <t>2016 07 09  1500   57578   54000    0        2.0      625.0     2.52e+05</t>
  </si>
  <si>
    <t>2016 07 09  1600   57578   57600    0        2.2      636.8     2.13e+05</t>
  </si>
  <si>
    <t>2016 07 09  1700   57578   61200    0        2.6      621.9     2.10e+05</t>
  </si>
  <si>
    <t>2016 07 09  1800   57578   64800    0        2.5      625.9     2.14e+05</t>
  </si>
  <si>
    <t>2016 07 09  1900   57578   68400    0        2.1      620.0     1.76e+05</t>
  </si>
  <si>
    <t>2016 07 09  2000   57578   72000    0        2.7      604.4     1.42e+05</t>
  </si>
  <si>
    <t>2016 07 09  2100   57578   75600    0        2.4      620.5     1.42e+05</t>
  </si>
  <si>
    <t>2016 07 09  2200   57578   79200    0        2.3      607.1     1.56e+05</t>
  </si>
  <si>
    <t>2016 07 09  2300   57578   82800    0        2.3      610.1     1.73e+05</t>
  </si>
  <si>
    <t>2016 07 10  0000   57579       0    0        2.3      614.9     2.18e+05</t>
  </si>
  <si>
    <t>2016 07 10  0100   57579    3600    0        2.3      603.4     1.62e+05</t>
  </si>
  <si>
    <t>2016 07 10  0200   57579    7200    0        2.1      587.3     1.68e+05</t>
  </si>
  <si>
    <t>2016 07 10  0300   57579   10800    0        2.1      593.2     2.24e+05</t>
  </si>
  <si>
    <t>2016 07 10  0400   57579   14400    0        2.1      598.0     1.77e+05</t>
  </si>
  <si>
    <t>2016 07 10  0500   57579   18000    0        2.4      606.3     2.24e+05</t>
  </si>
  <si>
    <t>2016 07 10  0600   57579   21600    0        2.7      614.1     2.18e+05</t>
  </si>
  <si>
    <t>2016 07 10  0700   57579   25200    0        2.3      616.6     1.81e+05</t>
  </si>
  <si>
    <t>2016 07 10  0800   57579   28800    1        2.3      586.5     2.11e+05</t>
  </si>
  <si>
    <t>2016 07 10  0900   57579   32400    0        2.0      590.4     1.96e+05</t>
  </si>
  <si>
    <t>2016 07 10  1000   57579   36000    0        2.3      574.5     1.57e+05</t>
  </si>
  <si>
    <t>2016 07 10  1100   57579   39600    0        2.1      572.3     1.61e+05</t>
  </si>
  <si>
    <t>2016 07 10  1200   57579   43200    0        1.9      568.3     1.46e+05</t>
  </si>
  <si>
    <t>2016 07 10  1300   57579   46800    1        2.1      569.5     1.28e+05</t>
  </si>
  <si>
    <t>2016 07 10  1400   57579   50400    0        2.1      568.9     1.32e+05</t>
  </si>
  <si>
    <t>2016 07 10  1500   57579   54000    0        2.0      570.5     1.25e+05</t>
  </si>
  <si>
    <t>2016 07 10  1600   57579   57600    0        1.9      557.9     1.68e+05</t>
  </si>
  <si>
    <t>2016 07 10  1700   57579   61200    0        2.0      565.4     1.57e+05</t>
  </si>
  <si>
    <t>2016 07 10  1800   57579   64800    0        1.9      582.6     1.65e+05</t>
  </si>
  <si>
    <t>2016 07 10  1900   57579   68400    0        1.9      576.8     1.46e+05</t>
  </si>
  <si>
    <t>2016 07 10  2000   57579   72000    1        2.3      566.3     1.69e+05</t>
  </si>
  <si>
    <t>2016 07 10  2100   57579   75600    0        2.3      566.4     1.90e+05</t>
  </si>
  <si>
    <t>2016 07 10  2200   57579   79200    0        1.8      566.8     1.88e+05</t>
  </si>
  <si>
    <t>2016 07 10  2300   57579   82800    0        1.8      569.7     1.64e+05</t>
  </si>
  <si>
    <t>2016 07 11  0000   57580       0    0        1.8      540.9     1.60e+05</t>
  </si>
  <si>
    <t>2016 07 11  0100   57580    3600    1        2.2      546.2     1.76e+05</t>
  </si>
  <si>
    <t>2016 07 11  0200   57580    7200    0        1.9      550.7     1.79e+05</t>
  </si>
  <si>
    <t>2016 07 11  0300   57580   10800    0        2.0      554.7     1.84e+05</t>
  </si>
  <si>
    <t>2016 07 11  0400   57580   14400    0        2.1      541.0     1.53e+05</t>
  </si>
  <si>
    <t>2016 07 11  0500   57580   18000    0        1.8      534.6     1.41e+05</t>
  </si>
  <si>
    <t>2016 07 11  0600   57580   21600    1        2.3      522.4     1.38e+05</t>
  </si>
  <si>
    <t>2016 07 11  0700   57580   25200    1        2.1      519.1     1.41e+05</t>
  </si>
  <si>
    <t>2016 07 11  0800   57580   28800    0        2.3      529.0     1.26e+05</t>
  </si>
  <si>
    <t>2016 07 11  0900   57580   32400    0        1.8      529.9     1.21e+05</t>
  </si>
  <si>
    <t>2016 07 11  1000   57580   36000    0        1.8      509.7     1.23e+05</t>
  </si>
  <si>
    <t>2016 07 11  1100   57580   39600    0        1.9      493.3     1.28e+05</t>
  </si>
  <si>
    <t>2016 07 11  1200   57580   43200    0        2.0      505.1     1.10e+05</t>
  </si>
  <si>
    <t>2016 07 11  1300   57580   46800    0        2.9      496.7     1.20e+05</t>
  </si>
  <si>
    <t>2016 07 11  1400   57580   50400    3    -9999.9    -9999.9    -1.00e+05</t>
  </si>
  <si>
    <t>2016 07 11  1500   57580   54000    1        3.1      486.2     1.34e+05</t>
  </si>
  <si>
    <t>2016 07 11  1600   57580   57600    6        3.4      488.0     1.41e+05</t>
  </si>
  <si>
    <t>2016 07 11  1700   57580   61200    0        3.5      484.4     1.36e+05</t>
  </si>
  <si>
    <t>2016 07 11  1800   57580   64800    0        3.7      482.4     1.46e+05</t>
  </si>
  <si>
    <t>2016 07 11  1900   57580   68400    1        3.3      473.2     1.23e+05</t>
  </si>
  <si>
    <t>2016 07 11  2000   57580   72000    0        3.2      472.8     1.38e+05</t>
  </si>
  <si>
    <t>2016 07 11  2100   57580   75600    0        3.2      462.0     1.17e+05</t>
  </si>
  <si>
    <t>2016 07 11  2200   57580   79200    0        2.4      483.9     1.16e+05</t>
  </si>
  <si>
    <t>2016 07 11  2300   57580   82800    0        3.2      476.6     1.13e+05</t>
  </si>
  <si>
    <t>2016 07 12  0000   57581       0    0        3.0      497.0     1.25e+05</t>
  </si>
  <si>
    <t>2016 07 12  0100   57581    3600    0        2.3      490.3     1.44e+05</t>
  </si>
  <si>
    <t>2016 07 12  0200   57581    7200    0        2.9      495.1     1.18e+05</t>
  </si>
  <si>
    <t>2016 07 12  0300   57581   10800    0        2.9      500.8     1.40e+05</t>
  </si>
  <si>
    <t>2016 07 12  0400   57581   14400    0        3.3      495.6     1.54e+05</t>
  </si>
  <si>
    <t>2016 07 12  0500   57581   18000    0        3.7      496.7     1.38e+05</t>
  </si>
  <si>
    <t>2016 07 12  0600   57581   21600    0        3.6      509.3     1.48e+05</t>
  </si>
  <si>
    <t>2016 07 12  0700   57581   25200    0        3.2      497.1     9.75e+04</t>
  </si>
  <si>
    <t>2016 07 12  0800   57581   28800    0        2.8      510.7     1.40e+05</t>
  </si>
  <si>
    <t>2016 07 12  0900   57581   32400    1        2.9      562.1     2.71e+05</t>
  </si>
  <si>
    <t>2016 07 12  1000   57581   36000    0        3.2      595.0     3.18e+05</t>
  </si>
  <si>
    <t>2016 07 12  1100   57581   39600    1        2.6      586.8     3.26e+05</t>
  </si>
  <si>
    <t>2016 07 12  1200   57581   43200    0        2.1      590.4     1.68e+05</t>
  </si>
  <si>
    <t>2016 07 12  1300   57581   46800    0        2.9      549.3     1.64e+05</t>
  </si>
  <si>
    <t>2016 07 12  1400   57581   50400    0        2.6      542.8     1.15e+05</t>
  </si>
  <si>
    <t>2016 07 12  1500   57581   54000    0        2.3      564.7     1.22e+05</t>
  </si>
  <si>
    <t>2016 07 12  1600   57581   57600    0        0.8      597.6     2.70e+05</t>
  </si>
  <si>
    <t>2016 07 12  1700   57581   61200    3    -9999.9    -9999.9    -1.00e+05</t>
  </si>
  <si>
    <t>2016 07 12  1800   57581   64800    0        0.7      613.5     2.74e+05</t>
  </si>
  <si>
    <t>2016 07 12  1900   57581   68400    0        0.5      624.3     3.00e+05</t>
  </si>
  <si>
    <t>2016 07 12  2000   57581   72000    1        0.9      631.0     2.35e+05</t>
  </si>
  <si>
    <t>2016 07 12  2100   57581   75600    0        0.8      621.3     2.08e+05</t>
  </si>
  <si>
    <t>2016 07 12  2200   57581   79200    0        1.1      606.8     1.64e+05</t>
  </si>
  <si>
    <t>2016 07 12  2300   57581   82800    0        1.2      596.9     1.53e+05</t>
  </si>
  <si>
    <t>2016 07 13  0000   57582       0    0        1.6      591.0     1.16e+05</t>
  </si>
  <si>
    <t>2016 07 13  0100   57582    3600    0        1.1      588.7     1.43e+05</t>
  </si>
  <si>
    <t>2016 07 13  0200   57582    7200    0        1.7      592.9     1.79e+05</t>
  </si>
  <si>
    <t>2016 07 13  0300   57582   10800    0        1.5      578.9     1.44e+05</t>
  </si>
  <si>
    <t>2016 07 13  0400   57582   14400    1        1.5      580.8     1.72e+05</t>
  </si>
  <si>
    <t>2016 07 13  0500   57582   18000    1        1.7      595.8     2.29e+05</t>
  </si>
  <si>
    <t>2016 07 13  0600   57582   21600    0        1.9      597.7     2.04e+05</t>
  </si>
  <si>
    <t>2016 07 13  0700   57582   25200    0        2.1      583.2     1.62e+05</t>
  </si>
  <si>
    <t>2016 07 13  0800   57582   28800    1        1.8      566.1     1.57e+05</t>
  </si>
  <si>
    <t>2016 07 13  0900   57582   32400    1        1.7      563.3     1.93e+05</t>
  </si>
  <si>
    <t>2016 07 13  1000   57582   36000    0        1.8      564.0     1.65e+05</t>
  </si>
  <si>
    <t>2016 07 13  1100   57582   39600    0        1.4      553.2     1.92e+05</t>
  </si>
  <si>
    <t>2016 07 13  1200   57582   43200    0        1.8      537.7     1.67e+05</t>
  </si>
  <si>
    <t>2016 07 13  1300   57582   46800    0        1.9      528.6     1.41e+05</t>
  </si>
  <si>
    <t>2016 07 13  1400   57582   50400    0        1.9      523.9     9.91e+04</t>
  </si>
  <si>
    <t>2016 07 13  1500   57582   54000    0        2.2      526.2     9.26e+04</t>
  </si>
  <si>
    <t>2016 07 13  1600   57582   57600    0        1.7      520.7     1.35e+05</t>
  </si>
  <si>
    <t>2016 07 13  1700   57582   61200    0        2.6      534.1     1.34e+05</t>
  </si>
  <si>
    <t>2016 07 13  1800   57582   64800    1        2.2      530.0     1.32e+05</t>
  </si>
  <si>
    <t>2016 07 13  1900   57582   68400    0        4.3      519.1     1.52e+05</t>
  </si>
  <si>
    <t>2016 07 13  2000   57582   72000    1        3.0      518.3     1.45e+05</t>
  </si>
  <si>
    <t>2016 07 13  2100   57582   75600    0        3.1      522.3     1.30e+05</t>
  </si>
  <si>
    <t>2016 07 13  2200   57582   79200    0        2.8      526.7     1.44e+05</t>
  </si>
  <si>
    <t>2016 07 13  2300   57582   82800    1        2.6      507.7     1.47e+05</t>
  </si>
  <si>
    <t>2016 07 14  0000   57583       0    1        2.3      515.3     1.49e+05</t>
  </si>
  <si>
    <t>2016 07 14  0100   57583    3600    1        2.8      506.2     1.08e+05</t>
  </si>
  <si>
    <t>2016 07 14  0200   57583    7200    0        2.3      493.0     1.23e+05</t>
  </si>
  <si>
    <t>2016 07 14  0300   57583   10800    1        2.6      490.3     1.58e+05</t>
  </si>
  <si>
    <t>2016 07 14  0400   57583   14400    0        3.0      503.5     1.51e+05</t>
  </si>
  <si>
    <t>2016 07 14  0500   57583   18000    0        2.5      521.0     1.66e+05</t>
  </si>
  <si>
    <t>2016 07 14  0600   57583   21600    0        3.2      520.9     1.46e+05</t>
  </si>
  <si>
    <t>2016 07 14  0700   57583   25200    1        3.0      533.9     1.57e+05</t>
  </si>
  <si>
    <t>2016 07 14  0800   57583   28800    0        3.3      526.6     1.85e+05</t>
  </si>
  <si>
    <t>2016 07 14  0900   57583   32400    0        2.7      529.9     1.98e+05</t>
  </si>
  <si>
    <t>2016 07 14  1000   57583   36000    0        3.1      545.5     1.92e+05</t>
  </si>
  <si>
    <t>2016 07 02</t>
  </si>
  <si>
    <t>2016 07 03</t>
  </si>
  <si>
    <t>2016 07 04</t>
  </si>
  <si>
    <t>2016 07 05</t>
  </si>
  <si>
    <t>2016 07 06</t>
  </si>
  <si>
    <t>2016 07 07</t>
  </si>
  <si>
    <t>2016 07 08</t>
  </si>
  <si>
    <t>2016 07 09</t>
  </si>
  <si>
    <t>2016 07 10</t>
  </si>
  <si>
    <t>2016 07 11</t>
  </si>
  <si>
    <t>2016 07 12</t>
  </si>
  <si>
    <t>2016 07 13</t>
  </si>
  <si>
    <t>2016 07 14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</si>
</sst>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3" fillId="2" borderId="2" applyNumberFormat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64" fontId="3" fillId="2" borderId="2" xfId="1" applyNumberFormat="1" applyAlignment="1">
      <alignment horizontal="center"/>
    </xf>
    <xf numFmtId="0" fontId="3" fillId="2" borderId="2" xfId="1" applyAlignment="1">
      <alignment horizontal="center" wrapText="1"/>
    </xf>
    <xf numFmtId="0" fontId="4" fillId="0" borderId="0" xfId="0" applyFont="1" applyAlignment="1">
      <alignment horizontal="center" vertical="center"/>
    </xf>
  </cellXfs>
  <cellStyles count="2">
    <cellStyle name="Input" xfId="1" builtinId="20"/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5" formatCode="0.00E+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Count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'Data Tables and Graphs'!$K$8:$K$31</c:f>
              <c:numCache>
                <c:formatCode>General</c:formatCode>
                <c:ptCount val="23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</c:numCache>
            </c:numRef>
          </c:cat>
          <c:val>
            <c:numRef>
              <c:f>'Data Tables and Graphs'!$L$8:$L$31</c:f>
              <c:numCache>
                <c:formatCode>General</c:formatCode>
                <c:ptCount val="23"/>
                <c:pt idx="0">
                  <c:v>1196</c:v>
                </c:pt>
                <c:pt idx="1">
                  <c:v>1151</c:v>
                </c:pt>
                <c:pt idx="2">
                  <c:v>1156</c:v>
                </c:pt>
                <c:pt idx="3">
                  <c:v>1215</c:v>
                </c:pt>
                <c:pt idx="4">
                  <c:v>1145</c:v>
                </c:pt>
                <c:pt idx="5">
                  <c:v>1231</c:v>
                </c:pt>
                <c:pt idx="6">
                  <c:v>1158</c:v>
                </c:pt>
                <c:pt idx="7">
                  <c:v>1223</c:v>
                </c:pt>
                <c:pt idx="8">
                  <c:v>1283</c:v>
                </c:pt>
                <c:pt idx="9">
                  <c:v>1253</c:v>
                </c:pt>
                <c:pt idx="10">
                  <c:v>1229</c:v>
                </c:pt>
                <c:pt idx="11">
                  <c:v>1270</c:v>
                </c:pt>
                <c:pt idx="12">
                  <c:v>1299</c:v>
                </c:pt>
                <c:pt idx="13">
                  <c:v>1315</c:v>
                </c:pt>
                <c:pt idx="14">
                  <c:v>1422</c:v>
                </c:pt>
                <c:pt idx="15">
                  <c:v>1355</c:v>
                </c:pt>
                <c:pt idx="16">
                  <c:v>1286</c:v>
                </c:pt>
                <c:pt idx="17">
                  <c:v>1316</c:v>
                </c:pt>
                <c:pt idx="18">
                  <c:v>1255</c:v>
                </c:pt>
                <c:pt idx="19">
                  <c:v>1201</c:v>
                </c:pt>
                <c:pt idx="20">
                  <c:v>1217</c:v>
                </c:pt>
                <c:pt idx="21">
                  <c:v>1145</c:v>
                </c:pt>
                <c:pt idx="22">
                  <c:v>1137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BF-4D51-B2B8-BBA8BDB592B3}"/>
            </c:ext>
          </c:extLst>
        </c:ser>
        <c:ser>
          <c:idx val="1"/>
          <c:order val="1"/>
          <c:tx>
            <c:v>Bulk Speed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'Data Tables and Graphs'!$K$8:$K$31</c:f>
              <c:numCache>
                <c:formatCode>General</c:formatCode>
                <c:ptCount val="23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</c:numCache>
            </c:numRef>
          </c:cat>
          <c:val>
            <c:numRef>
              <c:f>'Data Tables and Graphs'!$G$8:$G$26</c:f>
              <c:numCache>
                <c:formatCode>General</c:formatCode>
                <c:ptCount val="18"/>
                <c:pt idx="0">
                  <c:v>374.5</c:v>
                </c:pt>
                <c:pt idx="1">
                  <c:v>404.4</c:v>
                </c:pt>
                <c:pt idx="2">
                  <c:v>396.4</c:v>
                </c:pt>
                <c:pt idx="3">
                  <c:v>397</c:v>
                </c:pt>
                <c:pt idx="4">
                  <c:v>402.4</c:v>
                </c:pt>
                <c:pt idx="5">
                  <c:v>403.8</c:v>
                </c:pt>
                <c:pt idx="6">
                  <c:v>397.5</c:v>
                </c:pt>
                <c:pt idx="7">
                  <c:v>397</c:v>
                </c:pt>
                <c:pt idx="8">
                  <c:v>410.8</c:v>
                </c:pt>
                <c:pt idx="9">
                  <c:v>416.3</c:v>
                </c:pt>
                <c:pt idx="10">
                  <c:v>410.2</c:v>
                </c:pt>
                <c:pt idx="11">
                  <c:v>389.5</c:v>
                </c:pt>
                <c:pt idx="12">
                  <c:v>395.3</c:v>
                </c:pt>
                <c:pt idx="13">
                  <c:v>385.7</c:v>
                </c:pt>
                <c:pt idx="14">
                  <c:v>394.3</c:v>
                </c:pt>
                <c:pt idx="15">
                  <c:v>385.9</c:v>
                </c:pt>
                <c:pt idx="16">
                  <c:v>380.9</c:v>
                </c:pt>
                <c:pt idx="17">
                  <c:v>386.5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BF-4D51-B2B8-BBA8BDB59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978783"/>
        <c:axId val="1397971295"/>
      </c:lineChart>
      <c:catAx>
        <c:axId val="139797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971295"/>
        <c:crosses val="autoZero"/>
        <c:auto val="1"/>
        <c:lblAlgn val="ctr"/>
        <c:lblOffset val="100"/>
        <c:noMultiLvlLbl val="0"/>
      </c:catAx>
      <c:valAx>
        <c:axId val="1397971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978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2</xdr:row>
          <xdr:rowOff>190500</xdr:rowOff>
        </xdr:from>
        <xdr:to>
          <xdr:col>3</xdr:col>
          <xdr:colOff>857250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Solar Wind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1</xdr:row>
          <xdr:rowOff>9525</xdr:rowOff>
        </xdr:from>
        <xdr:to>
          <xdr:col>3</xdr:col>
          <xdr:colOff>857250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Cosmic Ray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257174</xdr:colOff>
      <xdr:row>7</xdr:row>
      <xdr:rowOff>76199</xdr:rowOff>
    </xdr:from>
    <xdr:to>
      <xdr:col>22</xdr:col>
      <xdr:colOff>133350</xdr:colOff>
      <xdr:row>35</xdr:row>
      <xdr:rowOff>161925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02" connectionId="7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01" connectionId="7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00" connectionId="7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7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4" connectionId="6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9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8" connectionId="4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2" connectionId="4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5" connectionId="1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8" connectionId="6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4" connectionId="1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7" connectionId="4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6" connectionId="3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5" connectionId="2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69" connectionId="4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43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6" connectionId="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73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74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84" connectionId="3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97" connectionId="7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8" connectionId="5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37" connectionId="4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6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6" connectionId="3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96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40" connectionId="7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9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81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0" connectionId="2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7" connectionId="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31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8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92" connectionId="6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8" connectionId="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9" connectionId="3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8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28" connectionId="1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6" connectionId="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47" connectionId="2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6" connectionId="2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7" connectionId="3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41" connectionId="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83" connectionId="2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3" connectionId="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44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8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4" connectionId="7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35" connectionId="2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42" connectionId="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71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95" connectionId="6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21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91" connectionId="6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79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30" connectionId="2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32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90" connectionId="6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22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49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82" connectionId="5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34" connectionId="1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6" connectionId="3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20" connectionId="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98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39" connectionId="6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93" connectionId="6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9" connectionId="1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77" connectionId="5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61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62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70" connectionId="4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75" connectionId="5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85" connectionId="3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38" connectionId="5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33" connectionId="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66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89" connectionId="6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SolarWindTable" displayName="SolarWindTable" ref="A7:H330" totalsRowShown="0" headerRowDxfId="5" dataDxfId="6">
  <autoFilter ref="A7:H330">
    <filterColumn colId="5">
      <filters>
        <filter val="0.5"/>
        <filter val="0.7"/>
        <filter val="0.8"/>
        <filter val="0.9"/>
        <filter val="1.1"/>
        <filter val="1.2"/>
        <filter val="1.4"/>
        <filter val="1.5"/>
        <filter val="1.6"/>
        <filter val="1.7"/>
        <filter val="1.8"/>
        <filter val="1.9"/>
        <filter val="10"/>
        <filter val="10.9"/>
        <filter val="11"/>
        <filter val="11.2"/>
        <filter val="11.4"/>
        <filter val="11.6"/>
        <filter val="11.8"/>
        <filter val="12"/>
        <filter val="12.1"/>
        <filter val="12.2"/>
        <filter val="12.3"/>
        <filter val="12.8"/>
        <filter val="16.6"/>
        <filter val="17.3"/>
        <filter val="18.5"/>
        <filter val="18.7"/>
        <filter val="2"/>
        <filter val="2.1"/>
        <filter val="2.2"/>
        <filter val="2.3"/>
        <filter val="2.4"/>
        <filter val="2.5"/>
        <filter val="2.6"/>
        <filter val="2.7"/>
        <filter val="2.8"/>
        <filter val="2.9"/>
        <filter val="21.3"/>
        <filter val="23.5"/>
        <filter val="25.8"/>
        <filter val="29.8"/>
        <filter val="3"/>
        <filter val="3.1"/>
        <filter val="3.2"/>
        <filter val="3.3"/>
        <filter val="3.4"/>
        <filter val="3.5"/>
        <filter val="3.6"/>
        <filter val="3.7"/>
        <filter val="3.8"/>
        <filter val="3.9"/>
        <filter val="30.8"/>
        <filter val="31.5"/>
        <filter val="35.1"/>
        <filter val="38.1"/>
        <filter val="4"/>
        <filter val="4.1"/>
        <filter val="4.2"/>
        <filter val="4.3"/>
        <filter val="4.4"/>
        <filter val="4.5"/>
        <filter val="4.6"/>
        <filter val="4.7"/>
        <filter val="4.8"/>
        <filter val="4.9"/>
        <filter val="5"/>
        <filter val="5.1"/>
        <filter val="5.2"/>
        <filter val="5.3"/>
        <filter val="5.5"/>
        <filter val="5.6"/>
        <filter val="5.7"/>
        <filter val="5.8"/>
        <filter val="5.9"/>
        <filter val="6"/>
        <filter val="6.1"/>
        <filter val="6.2"/>
        <filter val="6.3"/>
        <filter val="6.5"/>
        <filter val="6.7"/>
        <filter val="6.8"/>
        <filter val="6.9"/>
        <filter val="7"/>
        <filter val="7.2"/>
        <filter val="7.3"/>
        <filter val="7.5"/>
        <filter val="7.7"/>
        <filter val="7.9"/>
        <filter val="8"/>
        <filter val="8.3"/>
        <filter val="8.5"/>
        <filter val="8.8"/>
        <filter val="9.3"/>
      </filters>
    </filterColumn>
  </autoFilter>
  <tableColumns count="8">
    <tableColumn id="1" name="UT Date" dataDxfId="14"/>
    <tableColumn id="2" name="Time" dataDxfId="13"/>
    <tableColumn id="3" name="Modified Julian Day" dataDxfId="12"/>
    <tableColumn id="4" name="Seconds of the Day" dataDxfId="11"/>
    <tableColumn id="5" name="S" dataDxfId="10"/>
    <tableColumn id="6" name="Proton Density" dataDxfId="9"/>
    <tableColumn id="7" name="Bulk Speed" dataDxfId="8"/>
    <tableColumn id="8" name="Ion Temperature" dataDxfId="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CosmicRaysTable" displayName="CosmicRaysTable" ref="J7:L31" totalsRowShown="0" headerRowDxfId="0" dataDxfId="1">
  <autoFilter ref="J7:L31"/>
  <tableColumns count="3">
    <tableColumn id="1" name="Hour of Day" dataDxfId="4"/>
    <tableColumn id="2" name="Equivalent Time" dataDxfId="3">
      <calculatedColumnFormula>J8*100</calculatedColumnFormula>
    </tableColumn>
    <tableColumn id="3" name="Count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tp://ftp.swpc.noaa.gov/pub/lists/ace2/201607_ace_swepam_1h.tx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74" Type="http://schemas.openxmlformats.org/officeDocument/2006/relationships/queryTable" Target="../queryTables/queryTable7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61" Type="http://schemas.openxmlformats.org/officeDocument/2006/relationships/queryTable" Target="../queryTables/queryTable61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0"/>
  <sheetViews>
    <sheetView tabSelected="1" topLeftCell="D1" workbookViewId="0">
      <selection activeCell="J7" sqref="J7:L31"/>
    </sheetView>
  </sheetViews>
  <sheetFormatPr defaultColWidth="15.7109375" defaultRowHeight="15" x14ac:dyDescent="0.25"/>
  <cols>
    <col min="1" max="1" width="24.7109375" customWidth="1"/>
    <col min="3" max="3" width="25.7109375" customWidth="1"/>
    <col min="4" max="4" width="23.7109375" customWidth="1"/>
    <col min="6" max="6" width="19.7109375" customWidth="1"/>
    <col min="8" max="8" width="21.7109375" customWidth="1"/>
    <col min="10" max="10" width="20.7109375" customWidth="1"/>
    <col min="11" max="11" width="21.85546875" customWidth="1"/>
  </cols>
  <sheetData>
    <row r="1" spans="1:12" x14ac:dyDescent="0.25">
      <c r="E1" s="6" t="s">
        <v>1</v>
      </c>
      <c r="F1" s="6"/>
      <c r="G1" s="6"/>
      <c r="H1" s="6"/>
      <c r="I1" s="6"/>
      <c r="J1" s="6"/>
      <c r="K1" s="6"/>
      <c r="L1" s="6"/>
    </row>
    <row r="2" spans="1:12" x14ac:dyDescent="0.25">
      <c r="E2" s="6"/>
      <c r="F2" s="6"/>
      <c r="G2" s="6"/>
      <c r="H2" s="6"/>
      <c r="I2" s="6"/>
      <c r="J2" s="6"/>
      <c r="K2" s="6"/>
      <c r="L2" s="6"/>
    </row>
    <row r="3" spans="1:12" x14ac:dyDescent="0.25">
      <c r="E3" s="6"/>
      <c r="F3" s="6"/>
      <c r="G3" s="6"/>
      <c r="H3" s="6"/>
      <c r="I3" s="6"/>
      <c r="J3" s="6"/>
      <c r="K3" s="6"/>
      <c r="L3" s="6"/>
    </row>
    <row r="4" spans="1:12" x14ac:dyDescent="0.25">
      <c r="A4" s="2" t="s">
        <v>46</v>
      </c>
      <c r="B4" s="4">
        <v>42539</v>
      </c>
      <c r="E4" s="6"/>
      <c r="F4" s="6"/>
      <c r="G4" s="6"/>
      <c r="H4" s="6"/>
      <c r="I4" s="6"/>
      <c r="J4" s="6"/>
      <c r="K4" s="6"/>
      <c r="L4" s="6"/>
    </row>
    <row r="5" spans="1:12" ht="15" customHeight="1" x14ac:dyDescent="0.25">
      <c r="A5" s="2" t="s">
        <v>0</v>
      </c>
      <c r="B5" s="5" t="s">
        <v>26</v>
      </c>
    </row>
    <row r="7" spans="1:12" x14ac:dyDescent="0.25">
      <c r="A7" s="1" t="s">
        <v>18</v>
      </c>
      <c r="B7" s="1" t="s">
        <v>19</v>
      </c>
      <c r="C7" s="1" t="s">
        <v>25</v>
      </c>
      <c r="D7" s="1" t="s">
        <v>20</v>
      </c>
      <c r="E7" s="1" t="s">
        <v>21</v>
      </c>
      <c r="F7" s="1" t="s">
        <v>22</v>
      </c>
      <c r="G7" s="1" t="s">
        <v>23</v>
      </c>
      <c r="H7" s="1" t="s">
        <v>24</v>
      </c>
      <c r="J7" s="1" t="s">
        <v>58</v>
      </c>
      <c r="K7" s="1" t="s">
        <v>61</v>
      </c>
      <c r="L7" s="1" t="s">
        <v>59</v>
      </c>
    </row>
    <row r="8" spans="1:12" x14ac:dyDescent="0.25">
      <c r="A8" s="1" t="s">
        <v>17</v>
      </c>
      <c r="B8" s="1">
        <v>0</v>
      </c>
      <c r="C8" s="1">
        <v>57570</v>
      </c>
      <c r="D8" s="1">
        <v>0</v>
      </c>
      <c r="E8" s="1">
        <v>0</v>
      </c>
      <c r="F8" s="1">
        <v>12.2</v>
      </c>
      <c r="G8" s="1">
        <v>374.5</v>
      </c>
      <c r="H8" s="3">
        <v>43100</v>
      </c>
      <c r="J8" s="1">
        <v>0</v>
      </c>
      <c r="K8" s="1">
        <f>J8*100</f>
        <v>0</v>
      </c>
      <c r="L8" s="1">
        <v>1196</v>
      </c>
    </row>
    <row r="9" spans="1:12" hidden="1" x14ac:dyDescent="0.25">
      <c r="A9" s="1" t="s">
        <v>17</v>
      </c>
      <c r="B9" s="1">
        <v>100</v>
      </c>
      <c r="C9" s="1">
        <v>57570</v>
      </c>
      <c r="D9" s="1">
        <v>3600</v>
      </c>
      <c r="E9" s="1">
        <v>3</v>
      </c>
      <c r="F9" s="1">
        <v>-9999.9</v>
      </c>
      <c r="G9" s="1">
        <v>-9999.9</v>
      </c>
      <c r="H9" s="3">
        <v>-100000</v>
      </c>
      <c r="J9" s="1">
        <v>1</v>
      </c>
      <c r="K9" s="1">
        <f t="shared" ref="K9:K31" si="0">J9*100</f>
        <v>100</v>
      </c>
      <c r="L9" s="1">
        <v>1178</v>
      </c>
    </row>
    <row r="10" spans="1:12" x14ac:dyDescent="0.25">
      <c r="A10" s="1" t="s">
        <v>17</v>
      </c>
      <c r="B10" s="1">
        <v>200</v>
      </c>
      <c r="C10" s="1">
        <v>57570</v>
      </c>
      <c r="D10" s="1">
        <v>7200</v>
      </c>
      <c r="E10" s="1">
        <v>0</v>
      </c>
      <c r="F10" s="1">
        <v>5.5</v>
      </c>
      <c r="G10" s="1">
        <v>404.4</v>
      </c>
      <c r="H10" s="3">
        <v>136000</v>
      </c>
      <c r="J10" s="1">
        <v>2</v>
      </c>
      <c r="K10" s="1">
        <f t="shared" si="0"/>
        <v>200</v>
      </c>
      <c r="L10" s="1">
        <v>1151</v>
      </c>
    </row>
    <row r="11" spans="1:12" x14ac:dyDescent="0.25">
      <c r="A11" s="1" t="s">
        <v>17</v>
      </c>
      <c r="B11" s="1">
        <v>300</v>
      </c>
      <c r="C11" s="1">
        <v>57570</v>
      </c>
      <c r="D11" s="1">
        <v>10800</v>
      </c>
      <c r="E11" s="1">
        <v>0</v>
      </c>
      <c r="F11" s="1">
        <v>7</v>
      </c>
      <c r="G11" s="1">
        <v>396.4</v>
      </c>
      <c r="H11" s="3">
        <v>113000</v>
      </c>
      <c r="J11" s="1">
        <v>3</v>
      </c>
      <c r="K11" s="1">
        <f t="shared" si="0"/>
        <v>300</v>
      </c>
      <c r="L11" s="1">
        <v>1156</v>
      </c>
    </row>
    <row r="12" spans="1:12" x14ac:dyDescent="0.25">
      <c r="A12" s="1" t="s">
        <v>17</v>
      </c>
      <c r="B12" s="1">
        <v>400</v>
      </c>
      <c r="C12" s="1">
        <v>57570</v>
      </c>
      <c r="D12" s="1">
        <v>14400</v>
      </c>
      <c r="E12" s="1">
        <v>0</v>
      </c>
      <c r="F12" s="1">
        <v>6.2</v>
      </c>
      <c r="G12" s="1">
        <v>397</v>
      </c>
      <c r="H12" s="3">
        <v>94800</v>
      </c>
      <c r="J12" s="1">
        <v>4</v>
      </c>
      <c r="K12" s="1">
        <f t="shared" si="0"/>
        <v>400</v>
      </c>
      <c r="L12" s="1">
        <v>1215</v>
      </c>
    </row>
    <row r="13" spans="1:12" x14ac:dyDescent="0.25">
      <c r="A13" s="1" t="s">
        <v>17</v>
      </c>
      <c r="B13" s="1">
        <v>500</v>
      </c>
      <c r="C13" s="1">
        <v>57570</v>
      </c>
      <c r="D13" s="1">
        <v>18000</v>
      </c>
      <c r="E13" s="1">
        <v>0</v>
      </c>
      <c r="F13" s="1">
        <v>4.5999999999999996</v>
      </c>
      <c r="G13" s="1">
        <v>402.4</v>
      </c>
      <c r="H13" s="3">
        <v>124000</v>
      </c>
      <c r="J13" s="1">
        <v>5</v>
      </c>
      <c r="K13" s="1">
        <f t="shared" si="0"/>
        <v>500</v>
      </c>
      <c r="L13" s="1">
        <v>1145</v>
      </c>
    </row>
    <row r="14" spans="1:12" x14ac:dyDescent="0.25">
      <c r="A14" s="1" t="s">
        <v>17</v>
      </c>
      <c r="B14" s="1">
        <v>600</v>
      </c>
      <c r="C14" s="1">
        <v>57570</v>
      </c>
      <c r="D14" s="1">
        <v>21600</v>
      </c>
      <c r="E14" s="1">
        <v>0</v>
      </c>
      <c r="F14" s="1">
        <v>3.6</v>
      </c>
      <c r="G14" s="1">
        <v>403.8</v>
      </c>
      <c r="H14" s="3">
        <v>115000</v>
      </c>
      <c r="J14" s="1">
        <v>6</v>
      </c>
      <c r="K14" s="1">
        <f t="shared" si="0"/>
        <v>600</v>
      </c>
      <c r="L14" s="1">
        <v>1231</v>
      </c>
    </row>
    <row r="15" spans="1:12" x14ac:dyDescent="0.25">
      <c r="A15" s="1" t="s">
        <v>17</v>
      </c>
      <c r="B15" s="1">
        <v>700</v>
      </c>
      <c r="C15" s="1">
        <v>57570</v>
      </c>
      <c r="D15" s="1">
        <v>25200</v>
      </c>
      <c r="E15" s="1">
        <v>0</v>
      </c>
      <c r="F15" s="1">
        <v>4.5999999999999996</v>
      </c>
      <c r="G15" s="1">
        <v>397.5</v>
      </c>
      <c r="H15" s="3">
        <v>113000</v>
      </c>
      <c r="J15" s="1">
        <v>7</v>
      </c>
      <c r="K15" s="1">
        <f t="shared" si="0"/>
        <v>700</v>
      </c>
      <c r="L15" s="1">
        <v>1158</v>
      </c>
    </row>
    <row r="16" spans="1:12" x14ac:dyDescent="0.25">
      <c r="A16" s="1" t="s">
        <v>17</v>
      </c>
      <c r="B16" s="1">
        <v>800</v>
      </c>
      <c r="C16" s="1">
        <v>57570</v>
      </c>
      <c r="D16" s="1">
        <v>28800</v>
      </c>
      <c r="E16" s="1">
        <v>0</v>
      </c>
      <c r="F16" s="1">
        <v>3.6</v>
      </c>
      <c r="G16" s="1">
        <v>397</v>
      </c>
      <c r="H16" s="3">
        <v>110000</v>
      </c>
      <c r="J16" s="1">
        <v>8</v>
      </c>
      <c r="K16" s="1">
        <f t="shared" si="0"/>
        <v>800</v>
      </c>
      <c r="L16" s="1">
        <v>1223</v>
      </c>
    </row>
    <row r="17" spans="1:12" x14ac:dyDescent="0.25">
      <c r="A17" s="1" t="s">
        <v>17</v>
      </c>
      <c r="B17" s="1">
        <v>900</v>
      </c>
      <c r="C17" s="1">
        <v>57570</v>
      </c>
      <c r="D17" s="1">
        <v>32400</v>
      </c>
      <c r="E17" s="1">
        <v>0</v>
      </c>
      <c r="F17" s="1">
        <v>5.9</v>
      </c>
      <c r="G17" s="1">
        <v>410.8</v>
      </c>
      <c r="H17" s="3">
        <v>96500</v>
      </c>
      <c r="J17" s="1">
        <v>9</v>
      </c>
      <c r="K17" s="1">
        <f t="shared" si="0"/>
        <v>900</v>
      </c>
      <c r="L17" s="1">
        <v>1283</v>
      </c>
    </row>
    <row r="18" spans="1:12" x14ac:dyDescent="0.25">
      <c r="A18" s="1" t="s">
        <v>17</v>
      </c>
      <c r="B18" s="1">
        <v>1000</v>
      </c>
      <c r="C18" s="1">
        <v>57570</v>
      </c>
      <c r="D18" s="1">
        <v>36000</v>
      </c>
      <c r="E18" s="1">
        <v>0</v>
      </c>
      <c r="F18" s="1">
        <v>4.7</v>
      </c>
      <c r="G18" s="1">
        <v>416.3</v>
      </c>
      <c r="H18" s="3">
        <v>95200</v>
      </c>
      <c r="J18" s="1">
        <v>10</v>
      </c>
      <c r="K18" s="1">
        <f t="shared" si="0"/>
        <v>1000</v>
      </c>
      <c r="L18" s="1">
        <v>1253</v>
      </c>
    </row>
    <row r="19" spans="1:12" x14ac:dyDescent="0.25">
      <c r="A19" s="1" t="s">
        <v>17</v>
      </c>
      <c r="B19" s="1">
        <v>1100</v>
      </c>
      <c r="C19" s="1">
        <v>57570</v>
      </c>
      <c r="D19" s="1">
        <v>39600</v>
      </c>
      <c r="E19" s="1">
        <v>0</v>
      </c>
      <c r="F19" s="1">
        <v>5.0999999999999996</v>
      </c>
      <c r="G19" s="1">
        <v>410.2</v>
      </c>
      <c r="H19" s="3">
        <v>92300</v>
      </c>
      <c r="J19" s="1">
        <v>11</v>
      </c>
      <c r="K19" s="1">
        <f t="shared" si="0"/>
        <v>1100</v>
      </c>
      <c r="L19" s="1">
        <v>1229</v>
      </c>
    </row>
    <row r="20" spans="1:12" x14ac:dyDescent="0.25">
      <c r="A20" s="1" t="s">
        <v>17</v>
      </c>
      <c r="B20" s="1">
        <v>1200</v>
      </c>
      <c r="C20" s="1">
        <v>57570</v>
      </c>
      <c r="D20" s="1">
        <v>43200</v>
      </c>
      <c r="E20" s="1">
        <v>0</v>
      </c>
      <c r="F20" s="1">
        <v>4.7</v>
      </c>
      <c r="G20" s="1">
        <v>389.5</v>
      </c>
      <c r="H20" s="3">
        <v>91400</v>
      </c>
      <c r="J20" s="1">
        <v>12</v>
      </c>
      <c r="K20" s="1">
        <f t="shared" si="0"/>
        <v>1200</v>
      </c>
      <c r="L20" s="1">
        <v>1270</v>
      </c>
    </row>
    <row r="21" spans="1:12" x14ac:dyDescent="0.25">
      <c r="A21" s="1" t="s">
        <v>17</v>
      </c>
      <c r="B21" s="1">
        <v>1300</v>
      </c>
      <c r="C21" s="1">
        <v>57570</v>
      </c>
      <c r="D21" s="1">
        <v>46800</v>
      </c>
      <c r="E21" s="1">
        <v>0</v>
      </c>
      <c r="F21" s="1">
        <v>4.7</v>
      </c>
      <c r="G21" s="1">
        <v>395.3</v>
      </c>
      <c r="H21" s="3">
        <v>82100</v>
      </c>
      <c r="J21" s="1">
        <v>13</v>
      </c>
      <c r="K21" s="1">
        <f t="shared" si="0"/>
        <v>1300</v>
      </c>
      <c r="L21" s="1">
        <v>1299</v>
      </c>
    </row>
    <row r="22" spans="1:12" x14ac:dyDescent="0.25">
      <c r="A22" s="1" t="s">
        <v>17</v>
      </c>
      <c r="B22" s="1">
        <v>1400</v>
      </c>
      <c r="C22" s="1">
        <v>57570</v>
      </c>
      <c r="D22" s="1">
        <v>50400</v>
      </c>
      <c r="E22" s="1">
        <v>0</v>
      </c>
      <c r="F22" s="1">
        <v>4.3</v>
      </c>
      <c r="G22" s="1">
        <v>385.7</v>
      </c>
      <c r="H22" s="3">
        <v>83500</v>
      </c>
      <c r="J22" s="1">
        <v>14</v>
      </c>
      <c r="K22" s="1">
        <f t="shared" si="0"/>
        <v>1400</v>
      </c>
      <c r="L22" s="1">
        <v>1315</v>
      </c>
    </row>
    <row r="23" spans="1:12" x14ac:dyDescent="0.25">
      <c r="A23" s="1" t="s">
        <v>17</v>
      </c>
      <c r="B23" s="1">
        <v>1500</v>
      </c>
      <c r="C23" s="1">
        <v>57570</v>
      </c>
      <c r="D23" s="1">
        <v>54000</v>
      </c>
      <c r="E23" s="1">
        <v>0</v>
      </c>
      <c r="F23" s="1">
        <v>4.0999999999999996</v>
      </c>
      <c r="G23" s="1">
        <v>394.3</v>
      </c>
      <c r="H23" s="3">
        <v>65900</v>
      </c>
      <c r="J23" s="1">
        <v>15</v>
      </c>
      <c r="K23" s="1">
        <f t="shared" si="0"/>
        <v>1500</v>
      </c>
      <c r="L23" s="1">
        <v>1422</v>
      </c>
    </row>
    <row r="24" spans="1:12" x14ac:dyDescent="0.25">
      <c r="A24" s="1" t="s">
        <v>17</v>
      </c>
      <c r="B24" s="1">
        <v>1600</v>
      </c>
      <c r="C24" s="1">
        <v>57570</v>
      </c>
      <c r="D24" s="1">
        <v>57600</v>
      </c>
      <c r="E24" s="1">
        <v>0</v>
      </c>
      <c r="F24" s="1">
        <v>3.7</v>
      </c>
      <c r="G24" s="1">
        <v>385.9</v>
      </c>
      <c r="H24" s="3">
        <v>67700</v>
      </c>
      <c r="J24" s="1">
        <v>16</v>
      </c>
      <c r="K24" s="1">
        <f t="shared" si="0"/>
        <v>1600</v>
      </c>
      <c r="L24" s="1">
        <v>1355</v>
      </c>
    </row>
    <row r="25" spans="1:12" x14ac:dyDescent="0.25">
      <c r="A25" s="1" t="s">
        <v>17</v>
      </c>
      <c r="B25" s="1">
        <v>1700</v>
      </c>
      <c r="C25" s="1">
        <v>57570</v>
      </c>
      <c r="D25" s="1">
        <v>61200</v>
      </c>
      <c r="E25" s="1">
        <v>0</v>
      </c>
      <c r="F25" s="1">
        <v>3.7</v>
      </c>
      <c r="G25" s="1">
        <v>380.9</v>
      </c>
      <c r="H25" s="3">
        <v>61300</v>
      </c>
      <c r="J25" s="1">
        <v>17</v>
      </c>
      <c r="K25" s="1">
        <f t="shared" si="0"/>
        <v>1700</v>
      </c>
      <c r="L25" s="1">
        <v>1286</v>
      </c>
    </row>
    <row r="26" spans="1:12" x14ac:dyDescent="0.25">
      <c r="A26" s="1" t="s">
        <v>17</v>
      </c>
      <c r="B26" s="1">
        <v>1800</v>
      </c>
      <c r="C26" s="1">
        <v>57570</v>
      </c>
      <c r="D26" s="1">
        <v>64800</v>
      </c>
      <c r="E26" s="1">
        <v>0</v>
      </c>
      <c r="F26" s="1">
        <v>3.8</v>
      </c>
      <c r="G26" s="1">
        <v>386.5</v>
      </c>
      <c r="H26" s="3">
        <v>49400</v>
      </c>
      <c r="J26" s="1">
        <v>18</v>
      </c>
      <c r="K26" s="1">
        <f t="shared" si="0"/>
        <v>1800</v>
      </c>
      <c r="L26" s="1">
        <v>1316</v>
      </c>
    </row>
    <row r="27" spans="1:12" x14ac:dyDescent="0.25">
      <c r="A27" s="1" t="s">
        <v>17</v>
      </c>
      <c r="B27" s="1">
        <v>1900</v>
      </c>
      <c r="C27" s="1">
        <v>57570</v>
      </c>
      <c r="D27" s="1">
        <v>68400</v>
      </c>
      <c r="E27" s="1">
        <v>0</v>
      </c>
      <c r="F27" s="1">
        <v>4.3</v>
      </c>
      <c r="G27" s="1">
        <v>391</v>
      </c>
      <c r="H27" s="3">
        <v>57200</v>
      </c>
      <c r="J27" s="1">
        <v>19</v>
      </c>
      <c r="K27" s="1">
        <f t="shared" si="0"/>
        <v>1900</v>
      </c>
      <c r="L27" s="1">
        <v>1255</v>
      </c>
    </row>
    <row r="28" spans="1:12" x14ac:dyDescent="0.25">
      <c r="A28" s="1" t="s">
        <v>17</v>
      </c>
      <c r="B28" s="1">
        <v>2000</v>
      </c>
      <c r="C28" s="1">
        <v>57570</v>
      </c>
      <c r="D28" s="1">
        <v>72000</v>
      </c>
      <c r="E28" s="1">
        <v>0</v>
      </c>
      <c r="F28" s="1">
        <v>3.6</v>
      </c>
      <c r="G28" s="1">
        <v>383.3</v>
      </c>
      <c r="H28" s="3">
        <v>53000</v>
      </c>
      <c r="J28" s="1">
        <v>20</v>
      </c>
      <c r="K28" s="1">
        <f t="shared" si="0"/>
        <v>2000</v>
      </c>
      <c r="L28" s="1">
        <v>1201</v>
      </c>
    </row>
    <row r="29" spans="1:12" x14ac:dyDescent="0.25">
      <c r="A29" s="1" t="s">
        <v>17</v>
      </c>
      <c r="B29" s="1">
        <v>2100</v>
      </c>
      <c r="C29" s="1">
        <v>57570</v>
      </c>
      <c r="D29" s="1">
        <v>75600</v>
      </c>
      <c r="E29" s="1">
        <v>1</v>
      </c>
      <c r="F29" s="1">
        <v>3.6</v>
      </c>
      <c r="G29" s="1">
        <v>376.9</v>
      </c>
      <c r="H29" s="3">
        <v>50600</v>
      </c>
      <c r="J29" s="1">
        <v>21</v>
      </c>
      <c r="K29" s="1">
        <f t="shared" si="0"/>
        <v>2100</v>
      </c>
      <c r="L29" s="1">
        <v>1217</v>
      </c>
    </row>
    <row r="30" spans="1:12" x14ac:dyDescent="0.25">
      <c r="A30" s="1" t="s">
        <v>17</v>
      </c>
      <c r="B30" s="1">
        <v>2200</v>
      </c>
      <c r="C30" s="1">
        <v>57570</v>
      </c>
      <c r="D30" s="1">
        <v>79200</v>
      </c>
      <c r="E30" s="1">
        <v>0</v>
      </c>
      <c r="F30" s="1">
        <v>2.8</v>
      </c>
      <c r="G30" s="1">
        <v>380.5</v>
      </c>
      <c r="H30" s="3">
        <v>51800</v>
      </c>
      <c r="J30" s="1">
        <v>22</v>
      </c>
      <c r="K30" s="1">
        <f t="shared" si="0"/>
        <v>2200</v>
      </c>
      <c r="L30" s="1">
        <v>1145</v>
      </c>
    </row>
    <row r="31" spans="1:12" x14ac:dyDescent="0.25">
      <c r="A31" s="1" t="s">
        <v>17</v>
      </c>
      <c r="B31" s="1">
        <v>2300</v>
      </c>
      <c r="C31" s="1">
        <v>57570</v>
      </c>
      <c r="D31" s="1">
        <v>82800</v>
      </c>
      <c r="E31" s="1">
        <v>0</v>
      </c>
      <c r="F31" s="1">
        <v>4</v>
      </c>
      <c r="G31" s="1">
        <v>374.3</v>
      </c>
      <c r="H31" s="3">
        <v>58500</v>
      </c>
      <c r="J31" s="1">
        <v>23</v>
      </c>
      <c r="K31" s="1">
        <f t="shared" si="0"/>
        <v>2300</v>
      </c>
      <c r="L31" s="1">
        <v>1137</v>
      </c>
    </row>
    <row r="32" spans="1:12" x14ac:dyDescent="0.25">
      <c r="A32" s="1" t="s">
        <v>369</v>
      </c>
      <c r="B32" s="1">
        <v>0</v>
      </c>
      <c r="C32" s="1">
        <v>57571</v>
      </c>
      <c r="D32" s="1">
        <v>0</v>
      </c>
      <c r="E32" s="1">
        <v>0</v>
      </c>
      <c r="F32" s="1">
        <v>4.7</v>
      </c>
      <c r="G32" s="1">
        <v>381.4</v>
      </c>
      <c r="H32" s="3">
        <v>42000</v>
      </c>
    </row>
    <row r="33" spans="1:8" x14ac:dyDescent="0.25">
      <c r="A33" s="1" t="s">
        <v>369</v>
      </c>
      <c r="B33" s="1">
        <v>100</v>
      </c>
      <c r="C33" s="1">
        <v>57571</v>
      </c>
      <c r="D33" s="1">
        <v>3600</v>
      </c>
      <c r="E33" s="1">
        <v>0</v>
      </c>
      <c r="F33" s="1">
        <v>5</v>
      </c>
      <c r="G33" s="1">
        <v>389.1</v>
      </c>
      <c r="H33" s="3">
        <v>34100</v>
      </c>
    </row>
    <row r="34" spans="1:8" x14ac:dyDescent="0.25">
      <c r="A34" s="1" t="s">
        <v>369</v>
      </c>
      <c r="B34" s="1">
        <v>200</v>
      </c>
      <c r="C34" s="1">
        <v>57571</v>
      </c>
      <c r="D34" s="1">
        <v>7200</v>
      </c>
      <c r="E34" s="1">
        <v>0</v>
      </c>
      <c r="F34" s="1">
        <v>4.5</v>
      </c>
      <c r="G34" s="1">
        <v>382.4</v>
      </c>
      <c r="H34" s="3">
        <v>34600</v>
      </c>
    </row>
    <row r="35" spans="1:8" x14ac:dyDescent="0.25">
      <c r="A35" s="1" t="s">
        <v>369</v>
      </c>
      <c r="B35" s="1">
        <v>300</v>
      </c>
      <c r="C35" s="1">
        <v>57571</v>
      </c>
      <c r="D35" s="1">
        <v>10800</v>
      </c>
      <c r="E35" s="1">
        <v>0</v>
      </c>
      <c r="F35" s="1">
        <v>4.5</v>
      </c>
      <c r="G35" s="1">
        <v>371.4</v>
      </c>
      <c r="H35" s="3">
        <v>29700</v>
      </c>
    </row>
    <row r="36" spans="1:8" hidden="1" x14ac:dyDescent="0.25">
      <c r="A36" s="1" t="s">
        <v>369</v>
      </c>
      <c r="B36" s="1">
        <v>400</v>
      </c>
      <c r="C36" s="1">
        <v>57571</v>
      </c>
      <c r="D36" s="1">
        <v>14400</v>
      </c>
      <c r="E36" s="1">
        <v>3</v>
      </c>
      <c r="F36" s="1">
        <v>-9999.9</v>
      </c>
      <c r="G36" s="1">
        <v>-9999.9</v>
      </c>
      <c r="H36" s="3">
        <v>-100000</v>
      </c>
    </row>
    <row r="37" spans="1:8" x14ac:dyDescent="0.25">
      <c r="A37" s="1" t="s">
        <v>369</v>
      </c>
      <c r="B37" s="1">
        <v>500</v>
      </c>
      <c r="C37" s="1">
        <v>57571</v>
      </c>
      <c r="D37" s="1">
        <v>18000</v>
      </c>
      <c r="E37" s="1">
        <v>0</v>
      </c>
      <c r="F37" s="1">
        <v>4.2</v>
      </c>
      <c r="G37" s="1">
        <v>366.4</v>
      </c>
      <c r="H37" s="3">
        <v>33100</v>
      </c>
    </row>
    <row r="38" spans="1:8" x14ac:dyDescent="0.25">
      <c r="A38" s="1" t="s">
        <v>369</v>
      </c>
      <c r="B38" s="1">
        <v>600</v>
      </c>
      <c r="C38" s="1">
        <v>57571</v>
      </c>
      <c r="D38" s="1">
        <v>21600</v>
      </c>
      <c r="E38" s="1">
        <v>0</v>
      </c>
      <c r="F38" s="1">
        <v>4.9000000000000004</v>
      </c>
      <c r="G38" s="1">
        <v>365.6</v>
      </c>
      <c r="H38" s="3">
        <v>28000</v>
      </c>
    </row>
    <row r="39" spans="1:8" x14ac:dyDescent="0.25">
      <c r="A39" s="1" t="s">
        <v>369</v>
      </c>
      <c r="B39" s="1">
        <v>700</v>
      </c>
      <c r="C39" s="1">
        <v>57571</v>
      </c>
      <c r="D39" s="1">
        <v>25200</v>
      </c>
      <c r="E39" s="1">
        <v>0</v>
      </c>
      <c r="F39" s="1">
        <v>5.2</v>
      </c>
      <c r="G39" s="1">
        <v>359.4</v>
      </c>
      <c r="H39" s="3">
        <v>23700</v>
      </c>
    </row>
    <row r="40" spans="1:8" x14ac:dyDescent="0.25">
      <c r="A40" s="1" t="s">
        <v>369</v>
      </c>
      <c r="B40" s="1">
        <v>800</v>
      </c>
      <c r="C40" s="1">
        <v>57571</v>
      </c>
      <c r="D40" s="1">
        <v>28800</v>
      </c>
      <c r="E40" s="1">
        <v>0</v>
      </c>
      <c r="F40" s="1">
        <v>4.8</v>
      </c>
      <c r="G40" s="1">
        <v>354</v>
      </c>
      <c r="H40" s="3">
        <v>34500</v>
      </c>
    </row>
    <row r="41" spans="1:8" x14ac:dyDescent="0.25">
      <c r="A41" s="1" t="s">
        <v>369</v>
      </c>
      <c r="B41" s="1">
        <v>900</v>
      </c>
      <c r="C41" s="1">
        <v>57571</v>
      </c>
      <c r="D41" s="1">
        <v>32400</v>
      </c>
      <c r="E41" s="1">
        <v>0</v>
      </c>
      <c r="F41" s="1">
        <v>6.8</v>
      </c>
      <c r="G41" s="1">
        <v>352.4</v>
      </c>
      <c r="H41" s="3">
        <v>27700</v>
      </c>
    </row>
    <row r="42" spans="1:8" x14ac:dyDescent="0.25">
      <c r="A42" s="1" t="s">
        <v>369</v>
      </c>
      <c r="B42" s="1">
        <v>1000</v>
      </c>
      <c r="C42" s="1">
        <v>57571</v>
      </c>
      <c r="D42" s="1">
        <v>36000</v>
      </c>
      <c r="E42" s="1">
        <v>0</v>
      </c>
      <c r="F42" s="1">
        <v>10.9</v>
      </c>
      <c r="G42" s="1">
        <v>350.8</v>
      </c>
      <c r="H42" s="3">
        <v>16700</v>
      </c>
    </row>
    <row r="43" spans="1:8" x14ac:dyDescent="0.25">
      <c r="A43" s="1" t="s">
        <v>369</v>
      </c>
      <c r="B43" s="1">
        <v>1100</v>
      </c>
      <c r="C43" s="1">
        <v>57571</v>
      </c>
      <c r="D43" s="1">
        <v>39600</v>
      </c>
      <c r="E43" s="1">
        <v>0</v>
      </c>
      <c r="F43" s="1">
        <v>12.3</v>
      </c>
      <c r="G43" s="1">
        <v>348.4</v>
      </c>
      <c r="H43" s="3">
        <v>12900</v>
      </c>
    </row>
    <row r="44" spans="1:8" x14ac:dyDescent="0.25">
      <c r="A44" s="1" t="s">
        <v>369</v>
      </c>
      <c r="B44" s="1">
        <v>1200</v>
      </c>
      <c r="C44" s="1">
        <v>57571</v>
      </c>
      <c r="D44" s="1">
        <v>43200</v>
      </c>
      <c r="E44" s="1">
        <v>0</v>
      </c>
      <c r="F44" s="1">
        <v>8.8000000000000007</v>
      </c>
      <c r="G44" s="1">
        <v>345.1</v>
      </c>
      <c r="H44" s="3">
        <v>15500</v>
      </c>
    </row>
    <row r="45" spans="1:8" x14ac:dyDescent="0.25">
      <c r="A45" s="1" t="s">
        <v>369</v>
      </c>
      <c r="B45" s="1">
        <v>1300</v>
      </c>
      <c r="C45" s="1">
        <v>57571</v>
      </c>
      <c r="D45" s="1">
        <v>46800</v>
      </c>
      <c r="E45" s="1">
        <v>0</v>
      </c>
      <c r="F45" s="1">
        <v>12.1</v>
      </c>
      <c r="G45" s="1">
        <v>343.9</v>
      </c>
      <c r="H45" s="3">
        <v>12800</v>
      </c>
    </row>
    <row r="46" spans="1:8" x14ac:dyDescent="0.25">
      <c r="A46" s="1" t="s">
        <v>369</v>
      </c>
      <c r="B46" s="1">
        <v>1400</v>
      </c>
      <c r="C46" s="1">
        <v>57571</v>
      </c>
      <c r="D46" s="1">
        <v>50400</v>
      </c>
      <c r="E46" s="1">
        <v>0</v>
      </c>
      <c r="F46" s="1">
        <v>17.3</v>
      </c>
      <c r="G46" s="1">
        <v>347.4</v>
      </c>
      <c r="H46" s="3">
        <v>13800</v>
      </c>
    </row>
    <row r="47" spans="1:8" hidden="1" x14ac:dyDescent="0.25">
      <c r="A47" s="1" t="s">
        <v>369</v>
      </c>
      <c r="B47" s="1">
        <v>1500</v>
      </c>
      <c r="C47" s="1">
        <v>57571</v>
      </c>
      <c r="D47" s="1">
        <v>54000</v>
      </c>
      <c r="E47" s="1">
        <v>3</v>
      </c>
      <c r="F47" s="1">
        <v>-9999.9</v>
      </c>
      <c r="G47" s="1">
        <v>-9999.9</v>
      </c>
      <c r="H47" s="3">
        <v>-100000</v>
      </c>
    </row>
    <row r="48" spans="1:8" x14ac:dyDescent="0.25">
      <c r="A48" s="1" t="s">
        <v>369</v>
      </c>
      <c r="B48" s="1">
        <v>1600</v>
      </c>
      <c r="C48" s="1">
        <v>57571</v>
      </c>
      <c r="D48" s="1">
        <v>57600</v>
      </c>
      <c r="E48" s="1">
        <v>0</v>
      </c>
      <c r="F48" s="1">
        <v>21.3</v>
      </c>
      <c r="G48" s="1">
        <v>345</v>
      </c>
      <c r="H48" s="3">
        <v>15600</v>
      </c>
    </row>
    <row r="49" spans="1:8" x14ac:dyDescent="0.25">
      <c r="A49" s="1" t="s">
        <v>369</v>
      </c>
      <c r="B49" s="1">
        <v>1700</v>
      </c>
      <c r="C49" s="1">
        <v>57571</v>
      </c>
      <c r="D49" s="1">
        <v>61200</v>
      </c>
      <c r="E49" s="1">
        <v>0</v>
      </c>
      <c r="F49" s="1">
        <v>31.5</v>
      </c>
      <c r="G49" s="1">
        <v>350.4</v>
      </c>
      <c r="H49" s="3">
        <v>22000</v>
      </c>
    </row>
    <row r="50" spans="1:8" x14ac:dyDescent="0.25">
      <c r="A50" s="1" t="s">
        <v>369</v>
      </c>
      <c r="B50" s="1">
        <v>1800</v>
      </c>
      <c r="C50" s="1">
        <v>57571</v>
      </c>
      <c r="D50" s="1">
        <v>64800</v>
      </c>
      <c r="E50" s="1">
        <v>0</v>
      </c>
      <c r="F50" s="1">
        <v>38.1</v>
      </c>
      <c r="G50" s="1">
        <v>359.1</v>
      </c>
      <c r="H50" s="3">
        <v>30600</v>
      </c>
    </row>
    <row r="51" spans="1:8" x14ac:dyDescent="0.25">
      <c r="A51" s="1" t="s">
        <v>369</v>
      </c>
      <c r="B51" s="1">
        <v>1900</v>
      </c>
      <c r="C51" s="1">
        <v>57571</v>
      </c>
      <c r="D51" s="1">
        <v>68400</v>
      </c>
      <c r="E51" s="1">
        <v>0</v>
      </c>
      <c r="F51" s="1">
        <v>35.1</v>
      </c>
      <c r="G51" s="1">
        <v>365.2</v>
      </c>
      <c r="H51" s="3">
        <v>35200</v>
      </c>
    </row>
    <row r="52" spans="1:8" x14ac:dyDescent="0.25">
      <c r="A52" s="1" t="s">
        <v>369</v>
      </c>
      <c r="B52" s="1">
        <v>2000</v>
      </c>
      <c r="C52" s="1">
        <v>57571</v>
      </c>
      <c r="D52" s="1">
        <v>72000</v>
      </c>
      <c r="E52" s="1">
        <v>0</v>
      </c>
      <c r="F52" s="1">
        <v>30.8</v>
      </c>
      <c r="G52" s="1">
        <v>378.7</v>
      </c>
      <c r="H52" s="3">
        <v>62800</v>
      </c>
    </row>
    <row r="53" spans="1:8" x14ac:dyDescent="0.25">
      <c r="A53" s="1" t="s">
        <v>369</v>
      </c>
      <c r="B53" s="1">
        <v>2100</v>
      </c>
      <c r="C53" s="1">
        <v>57571</v>
      </c>
      <c r="D53" s="1">
        <v>75600</v>
      </c>
      <c r="E53" s="1">
        <v>0</v>
      </c>
      <c r="F53" s="1">
        <v>29.8</v>
      </c>
      <c r="G53" s="1">
        <v>389.6</v>
      </c>
      <c r="H53" s="3">
        <v>69300</v>
      </c>
    </row>
    <row r="54" spans="1:8" x14ac:dyDescent="0.25">
      <c r="A54" s="1" t="s">
        <v>369</v>
      </c>
      <c r="B54" s="1">
        <v>2200</v>
      </c>
      <c r="C54" s="1">
        <v>57571</v>
      </c>
      <c r="D54" s="1">
        <v>79200</v>
      </c>
      <c r="E54" s="1">
        <v>0</v>
      </c>
      <c r="F54" s="1">
        <v>18.7</v>
      </c>
      <c r="G54" s="1">
        <v>401.2</v>
      </c>
      <c r="H54" s="3">
        <v>150000</v>
      </c>
    </row>
    <row r="55" spans="1:8" x14ac:dyDescent="0.25">
      <c r="A55" s="1" t="s">
        <v>369</v>
      </c>
      <c r="B55" s="1">
        <v>2300</v>
      </c>
      <c r="C55" s="1">
        <v>57571</v>
      </c>
      <c r="D55" s="1">
        <v>82800</v>
      </c>
      <c r="E55" s="1">
        <v>0</v>
      </c>
      <c r="F55" s="1">
        <v>6.8</v>
      </c>
      <c r="G55" s="1">
        <v>414.7</v>
      </c>
      <c r="H55" s="3">
        <v>232000</v>
      </c>
    </row>
    <row r="56" spans="1:8" x14ac:dyDescent="0.25">
      <c r="A56" s="1" t="s">
        <v>370</v>
      </c>
      <c r="B56" s="1">
        <v>0</v>
      </c>
      <c r="C56" s="1">
        <v>57572</v>
      </c>
      <c r="D56" s="1">
        <v>0</v>
      </c>
      <c r="E56" s="1">
        <v>1</v>
      </c>
      <c r="F56" s="1">
        <v>7.3</v>
      </c>
      <c r="G56" s="1">
        <v>409.9</v>
      </c>
      <c r="H56" s="3">
        <v>226000</v>
      </c>
    </row>
    <row r="57" spans="1:8" x14ac:dyDescent="0.25">
      <c r="A57" s="1" t="s">
        <v>370</v>
      </c>
      <c r="B57" s="1">
        <v>100</v>
      </c>
      <c r="C57" s="1">
        <v>57572</v>
      </c>
      <c r="D57" s="1">
        <v>3600</v>
      </c>
      <c r="E57" s="1">
        <v>0</v>
      </c>
      <c r="F57" s="1">
        <v>7.5</v>
      </c>
      <c r="G57" s="1">
        <v>436.9</v>
      </c>
      <c r="H57" s="3">
        <v>256000</v>
      </c>
    </row>
    <row r="58" spans="1:8" x14ac:dyDescent="0.25">
      <c r="A58" s="1" t="s">
        <v>370</v>
      </c>
      <c r="B58" s="1">
        <v>200</v>
      </c>
      <c r="C58" s="1">
        <v>57572</v>
      </c>
      <c r="D58" s="1">
        <v>7200</v>
      </c>
      <c r="E58" s="1">
        <v>0</v>
      </c>
      <c r="F58" s="1">
        <v>6.8</v>
      </c>
      <c r="G58" s="1">
        <v>460</v>
      </c>
      <c r="H58" s="3">
        <v>287000</v>
      </c>
    </row>
    <row r="59" spans="1:8" x14ac:dyDescent="0.25">
      <c r="A59" s="1" t="s">
        <v>370</v>
      </c>
      <c r="B59" s="1">
        <v>300</v>
      </c>
      <c r="C59" s="1">
        <v>57572</v>
      </c>
      <c r="D59" s="1">
        <v>10800</v>
      </c>
      <c r="E59" s="1">
        <v>1</v>
      </c>
      <c r="F59" s="1">
        <v>5.7</v>
      </c>
      <c r="G59" s="1">
        <v>457.8</v>
      </c>
      <c r="H59" s="3">
        <v>158000</v>
      </c>
    </row>
    <row r="60" spans="1:8" x14ac:dyDescent="0.25">
      <c r="A60" s="1" t="s">
        <v>370</v>
      </c>
      <c r="B60" s="1">
        <v>400</v>
      </c>
      <c r="C60" s="1">
        <v>57572</v>
      </c>
      <c r="D60" s="1">
        <v>14400</v>
      </c>
      <c r="E60" s="1">
        <v>0</v>
      </c>
      <c r="F60" s="1">
        <v>6.2</v>
      </c>
      <c r="G60" s="1">
        <v>448.3</v>
      </c>
      <c r="H60" s="3">
        <v>124000</v>
      </c>
    </row>
    <row r="61" spans="1:8" x14ac:dyDescent="0.25">
      <c r="A61" s="1" t="s">
        <v>370</v>
      </c>
      <c r="B61" s="1">
        <v>500</v>
      </c>
      <c r="C61" s="1">
        <v>57572</v>
      </c>
      <c r="D61" s="1">
        <v>18000</v>
      </c>
      <c r="E61" s="1">
        <v>1</v>
      </c>
      <c r="F61" s="1">
        <v>6.9</v>
      </c>
      <c r="G61" s="1">
        <v>462.5</v>
      </c>
      <c r="H61" s="3">
        <v>194000</v>
      </c>
    </row>
    <row r="62" spans="1:8" x14ac:dyDescent="0.25">
      <c r="A62" s="1" t="s">
        <v>370</v>
      </c>
      <c r="B62" s="1">
        <v>600</v>
      </c>
      <c r="C62" s="1">
        <v>57572</v>
      </c>
      <c r="D62" s="1">
        <v>21600</v>
      </c>
      <c r="E62" s="1">
        <v>0</v>
      </c>
      <c r="F62" s="1">
        <v>5.0999999999999996</v>
      </c>
      <c r="G62" s="1">
        <v>459.3</v>
      </c>
      <c r="H62" s="3">
        <v>122000</v>
      </c>
    </row>
    <row r="63" spans="1:8" x14ac:dyDescent="0.25">
      <c r="A63" s="1" t="s">
        <v>370</v>
      </c>
      <c r="B63" s="1">
        <v>700</v>
      </c>
      <c r="C63" s="1">
        <v>57572</v>
      </c>
      <c r="D63" s="1">
        <v>25200</v>
      </c>
      <c r="E63" s="1">
        <v>0</v>
      </c>
      <c r="F63" s="1">
        <v>6.3</v>
      </c>
      <c r="G63" s="1">
        <v>455.8</v>
      </c>
      <c r="H63" s="3">
        <v>122000</v>
      </c>
    </row>
    <row r="64" spans="1:8" x14ac:dyDescent="0.25">
      <c r="A64" s="1" t="s">
        <v>370</v>
      </c>
      <c r="B64" s="1">
        <v>800</v>
      </c>
      <c r="C64" s="1">
        <v>57572</v>
      </c>
      <c r="D64" s="1">
        <v>28800</v>
      </c>
      <c r="E64" s="1">
        <v>0</v>
      </c>
      <c r="F64" s="1">
        <v>6.5</v>
      </c>
      <c r="G64" s="1">
        <v>447.7</v>
      </c>
      <c r="H64" s="3">
        <v>101000</v>
      </c>
    </row>
    <row r="65" spans="1:8" x14ac:dyDescent="0.25">
      <c r="A65" s="1" t="s">
        <v>370</v>
      </c>
      <c r="B65" s="1">
        <v>900</v>
      </c>
      <c r="C65" s="1">
        <v>57572</v>
      </c>
      <c r="D65" s="1">
        <v>32400</v>
      </c>
      <c r="E65" s="1">
        <v>0</v>
      </c>
      <c r="F65" s="1">
        <v>5.3</v>
      </c>
      <c r="G65" s="1">
        <v>449.8</v>
      </c>
      <c r="H65" s="3">
        <v>110000</v>
      </c>
    </row>
    <row r="66" spans="1:8" x14ac:dyDescent="0.25">
      <c r="A66" s="1" t="s">
        <v>370</v>
      </c>
      <c r="B66" s="1">
        <v>1000</v>
      </c>
      <c r="C66" s="1">
        <v>57572</v>
      </c>
      <c r="D66" s="1">
        <v>36000</v>
      </c>
      <c r="E66" s="1">
        <v>1</v>
      </c>
      <c r="F66" s="1">
        <v>5</v>
      </c>
      <c r="G66" s="1">
        <v>451.5</v>
      </c>
      <c r="H66" s="3">
        <v>146000</v>
      </c>
    </row>
    <row r="67" spans="1:8" x14ac:dyDescent="0.25">
      <c r="A67" s="1" t="s">
        <v>370</v>
      </c>
      <c r="B67" s="1">
        <v>1100</v>
      </c>
      <c r="C67" s="1">
        <v>57572</v>
      </c>
      <c r="D67" s="1">
        <v>39600</v>
      </c>
      <c r="E67" s="1">
        <v>0</v>
      </c>
      <c r="F67" s="1">
        <v>4.8</v>
      </c>
      <c r="G67" s="1">
        <v>453.7</v>
      </c>
      <c r="H67" s="3">
        <v>131000</v>
      </c>
    </row>
    <row r="68" spans="1:8" x14ac:dyDescent="0.25">
      <c r="A68" s="1" t="s">
        <v>370</v>
      </c>
      <c r="B68" s="1">
        <v>1200</v>
      </c>
      <c r="C68" s="1">
        <v>57572</v>
      </c>
      <c r="D68" s="1">
        <v>43200</v>
      </c>
      <c r="E68" s="1">
        <v>0</v>
      </c>
      <c r="F68" s="1">
        <v>5.8</v>
      </c>
      <c r="G68" s="1">
        <v>454.5</v>
      </c>
      <c r="H68" s="3">
        <v>137000</v>
      </c>
    </row>
    <row r="69" spans="1:8" x14ac:dyDescent="0.25">
      <c r="A69" s="1" t="s">
        <v>370</v>
      </c>
      <c r="B69" s="1">
        <v>1300</v>
      </c>
      <c r="C69" s="1">
        <v>57572</v>
      </c>
      <c r="D69" s="1">
        <v>46800</v>
      </c>
      <c r="E69" s="1">
        <v>0</v>
      </c>
      <c r="F69" s="1">
        <v>6.2</v>
      </c>
      <c r="G69" s="1">
        <v>450.2</v>
      </c>
      <c r="H69" s="3">
        <v>120000</v>
      </c>
    </row>
    <row r="70" spans="1:8" x14ac:dyDescent="0.25">
      <c r="A70" s="1" t="s">
        <v>370</v>
      </c>
      <c r="B70" s="1">
        <v>1400</v>
      </c>
      <c r="C70" s="1">
        <v>57572</v>
      </c>
      <c r="D70" s="1">
        <v>50400</v>
      </c>
      <c r="E70" s="1">
        <v>0</v>
      </c>
      <c r="F70" s="1">
        <v>5.7</v>
      </c>
      <c r="G70" s="1">
        <v>446.1</v>
      </c>
      <c r="H70" s="3">
        <v>108000</v>
      </c>
    </row>
    <row r="71" spans="1:8" x14ac:dyDescent="0.25">
      <c r="A71" s="1" t="s">
        <v>370</v>
      </c>
      <c r="B71" s="1">
        <v>1500</v>
      </c>
      <c r="C71" s="1">
        <v>57572</v>
      </c>
      <c r="D71" s="1">
        <v>54000</v>
      </c>
      <c r="E71" s="1">
        <v>1</v>
      </c>
      <c r="F71" s="1">
        <v>5.7</v>
      </c>
      <c r="G71" s="1">
        <v>448.4</v>
      </c>
      <c r="H71" s="3">
        <v>141000</v>
      </c>
    </row>
    <row r="72" spans="1:8" x14ac:dyDescent="0.25">
      <c r="A72" s="1" t="s">
        <v>370</v>
      </c>
      <c r="B72" s="1">
        <v>1600</v>
      </c>
      <c r="C72" s="1">
        <v>57572</v>
      </c>
      <c r="D72" s="1">
        <v>57600</v>
      </c>
      <c r="E72" s="1">
        <v>1</v>
      </c>
      <c r="F72" s="1">
        <v>5.9</v>
      </c>
      <c r="G72" s="1">
        <v>459.9</v>
      </c>
      <c r="H72" s="3">
        <v>165000</v>
      </c>
    </row>
    <row r="73" spans="1:8" x14ac:dyDescent="0.25">
      <c r="A73" s="1" t="s">
        <v>370</v>
      </c>
      <c r="B73" s="1">
        <v>1700</v>
      </c>
      <c r="C73" s="1">
        <v>57572</v>
      </c>
      <c r="D73" s="1">
        <v>61200</v>
      </c>
      <c r="E73" s="1">
        <v>0</v>
      </c>
      <c r="F73" s="1">
        <v>5.7</v>
      </c>
      <c r="G73" s="1">
        <v>452.3</v>
      </c>
      <c r="H73" s="3">
        <v>157000</v>
      </c>
    </row>
    <row r="74" spans="1:8" x14ac:dyDescent="0.25">
      <c r="A74" s="1" t="s">
        <v>370</v>
      </c>
      <c r="B74" s="1">
        <v>1800</v>
      </c>
      <c r="C74" s="1">
        <v>57572</v>
      </c>
      <c r="D74" s="1">
        <v>64800</v>
      </c>
      <c r="E74" s="1">
        <v>0</v>
      </c>
      <c r="F74" s="1">
        <v>6</v>
      </c>
      <c r="G74" s="1">
        <v>457.1</v>
      </c>
      <c r="H74" s="3">
        <v>146000</v>
      </c>
    </row>
    <row r="75" spans="1:8" x14ac:dyDescent="0.25">
      <c r="A75" s="1" t="s">
        <v>370</v>
      </c>
      <c r="B75" s="1">
        <v>1900</v>
      </c>
      <c r="C75" s="1">
        <v>57572</v>
      </c>
      <c r="D75" s="1">
        <v>68400</v>
      </c>
      <c r="E75" s="1">
        <v>0</v>
      </c>
      <c r="F75" s="1">
        <v>5.0999999999999996</v>
      </c>
      <c r="G75" s="1">
        <v>468</v>
      </c>
      <c r="H75" s="3">
        <v>133000</v>
      </c>
    </row>
    <row r="76" spans="1:8" x14ac:dyDescent="0.25">
      <c r="A76" s="1" t="s">
        <v>370</v>
      </c>
      <c r="B76" s="1">
        <v>2000</v>
      </c>
      <c r="C76" s="1">
        <v>57572</v>
      </c>
      <c r="D76" s="1">
        <v>72000</v>
      </c>
      <c r="E76" s="1">
        <v>0</v>
      </c>
      <c r="F76" s="1">
        <v>5.9</v>
      </c>
      <c r="G76" s="1">
        <v>444.2</v>
      </c>
      <c r="H76" s="3">
        <v>140000</v>
      </c>
    </row>
    <row r="77" spans="1:8" x14ac:dyDescent="0.25">
      <c r="A77" s="1" t="s">
        <v>370</v>
      </c>
      <c r="B77" s="1">
        <v>2100</v>
      </c>
      <c r="C77" s="1">
        <v>57572</v>
      </c>
      <c r="D77" s="1">
        <v>75600</v>
      </c>
      <c r="E77" s="1">
        <v>1</v>
      </c>
      <c r="F77" s="1">
        <v>5.9</v>
      </c>
      <c r="G77" s="1">
        <v>450.3</v>
      </c>
      <c r="H77" s="3">
        <v>143000</v>
      </c>
    </row>
    <row r="78" spans="1:8" x14ac:dyDescent="0.25">
      <c r="A78" s="1" t="s">
        <v>370</v>
      </c>
      <c r="B78" s="1">
        <v>2200</v>
      </c>
      <c r="C78" s="1">
        <v>57572</v>
      </c>
      <c r="D78" s="1">
        <v>79200</v>
      </c>
      <c r="E78" s="1">
        <v>0</v>
      </c>
      <c r="F78" s="1">
        <v>5.6</v>
      </c>
      <c r="G78" s="1">
        <v>453.9</v>
      </c>
      <c r="H78" s="3">
        <v>121000</v>
      </c>
    </row>
    <row r="79" spans="1:8" x14ac:dyDescent="0.25">
      <c r="A79" s="1" t="s">
        <v>370</v>
      </c>
      <c r="B79" s="1">
        <v>2300</v>
      </c>
      <c r="C79" s="1">
        <v>57572</v>
      </c>
      <c r="D79" s="1">
        <v>82800</v>
      </c>
      <c r="E79" s="1">
        <v>0</v>
      </c>
      <c r="F79" s="1">
        <v>4.9000000000000004</v>
      </c>
      <c r="G79" s="1">
        <v>452.8</v>
      </c>
      <c r="H79" s="3">
        <v>116000</v>
      </c>
    </row>
    <row r="80" spans="1:8" x14ac:dyDescent="0.25">
      <c r="A80" s="1" t="s">
        <v>371</v>
      </c>
      <c r="B80" s="1">
        <v>0</v>
      </c>
      <c r="C80" s="1">
        <v>57573</v>
      </c>
      <c r="D80" s="1">
        <v>0</v>
      </c>
      <c r="E80" s="1">
        <v>0</v>
      </c>
      <c r="F80" s="1">
        <v>4.5999999999999996</v>
      </c>
      <c r="G80" s="1">
        <v>443</v>
      </c>
      <c r="H80" s="3">
        <v>94700</v>
      </c>
    </row>
    <row r="81" spans="1:8" x14ac:dyDescent="0.25">
      <c r="A81" s="1" t="s">
        <v>371</v>
      </c>
      <c r="B81" s="1">
        <v>100</v>
      </c>
      <c r="C81" s="1">
        <v>57573</v>
      </c>
      <c r="D81" s="1">
        <v>3600</v>
      </c>
      <c r="E81" s="1">
        <v>0</v>
      </c>
      <c r="F81" s="1">
        <v>4.5</v>
      </c>
      <c r="G81" s="1">
        <v>442.2</v>
      </c>
      <c r="H81" s="3">
        <v>98500</v>
      </c>
    </row>
    <row r="82" spans="1:8" x14ac:dyDescent="0.25">
      <c r="A82" s="1" t="s">
        <v>371</v>
      </c>
      <c r="B82" s="1">
        <v>200</v>
      </c>
      <c r="C82" s="1">
        <v>57573</v>
      </c>
      <c r="D82" s="1">
        <v>7200</v>
      </c>
      <c r="E82" s="1">
        <v>0</v>
      </c>
      <c r="F82" s="1">
        <v>5.0999999999999996</v>
      </c>
      <c r="G82" s="1">
        <v>444.8</v>
      </c>
      <c r="H82" s="3">
        <v>83300</v>
      </c>
    </row>
    <row r="83" spans="1:8" x14ac:dyDescent="0.25">
      <c r="A83" s="1" t="s">
        <v>371</v>
      </c>
      <c r="B83" s="1">
        <v>300</v>
      </c>
      <c r="C83" s="1">
        <v>57573</v>
      </c>
      <c r="D83" s="1">
        <v>10800</v>
      </c>
      <c r="E83" s="1">
        <v>1</v>
      </c>
      <c r="F83" s="1">
        <v>4.5</v>
      </c>
      <c r="G83" s="1">
        <v>454.4</v>
      </c>
      <c r="H83" s="3">
        <v>95200</v>
      </c>
    </row>
    <row r="84" spans="1:8" x14ac:dyDescent="0.25">
      <c r="A84" s="1" t="s">
        <v>371</v>
      </c>
      <c r="B84" s="1">
        <v>400</v>
      </c>
      <c r="C84" s="1">
        <v>57573</v>
      </c>
      <c r="D84" s="1">
        <v>14400</v>
      </c>
      <c r="E84" s="1">
        <v>1</v>
      </c>
      <c r="F84" s="1">
        <v>3.5</v>
      </c>
      <c r="G84" s="1">
        <v>445.9</v>
      </c>
      <c r="H84" s="3">
        <v>91800</v>
      </c>
    </row>
    <row r="85" spans="1:8" x14ac:dyDescent="0.25">
      <c r="A85" s="1" t="s">
        <v>371</v>
      </c>
      <c r="B85" s="1">
        <v>500</v>
      </c>
      <c r="C85" s="1">
        <v>57573</v>
      </c>
      <c r="D85" s="1">
        <v>18000</v>
      </c>
      <c r="E85" s="1">
        <v>0</v>
      </c>
      <c r="F85" s="1">
        <v>4</v>
      </c>
      <c r="G85" s="1">
        <v>441.4</v>
      </c>
      <c r="H85" s="3">
        <v>74000</v>
      </c>
    </row>
    <row r="86" spans="1:8" x14ac:dyDescent="0.25">
      <c r="A86" s="1" t="s">
        <v>371</v>
      </c>
      <c r="B86" s="1">
        <v>600</v>
      </c>
      <c r="C86" s="1">
        <v>57573</v>
      </c>
      <c r="D86" s="1">
        <v>21600</v>
      </c>
      <c r="E86" s="1">
        <v>0</v>
      </c>
      <c r="F86" s="1">
        <v>3.9</v>
      </c>
      <c r="G86" s="1">
        <v>441.5</v>
      </c>
      <c r="H86" s="3">
        <v>86200</v>
      </c>
    </row>
    <row r="87" spans="1:8" x14ac:dyDescent="0.25">
      <c r="A87" s="1" t="s">
        <v>371</v>
      </c>
      <c r="B87" s="1">
        <v>700</v>
      </c>
      <c r="C87" s="1">
        <v>57573</v>
      </c>
      <c r="D87" s="1">
        <v>25200</v>
      </c>
      <c r="E87" s="1">
        <v>0</v>
      </c>
      <c r="F87" s="1">
        <v>4</v>
      </c>
      <c r="G87" s="1">
        <v>435.5</v>
      </c>
      <c r="H87" s="3">
        <v>82400</v>
      </c>
    </row>
    <row r="88" spans="1:8" x14ac:dyDescent="0.25">
      <c r="A88" s="1" t="s">
        <v>371</v>
      </c>
      <c r="B88" s="1">
        <v>800</v>
      </c>
      <c r="C88" s="1">
        <v>57573</v>
      </c>
      <c r="D88" s="1">
        <v>28800</v>
      </c>
      <c r="E88" s="1">
        <v>0</v>
      </c>
      <c r="F88" s="1">
        <v>4</v>
      </c>
      <c r="G88" s="1">
        <v>430.7</v>
      </c>
      <c r="H88" s="3">
        <v>80200</v>
      </c>
    </row>
    <row r="89" spans="1:8" x14ac:dyDescent="0.25">
      <c r="A89" s="1" t="s">
        <v>371</v>
      </c>
      <c r="B89" s="1">
        <v>900</v>
      </c>
      <c r="C89" s="1">
        <v>57573</v>
      </c>
      <c r="D89" s="1">
        <v>32400</v>
      </c>
      <c r="E89" s="1">
        <v>0</v>
      </c>
      <c r="F89" s="1">
        <v>4.0999999999999996</v>
      </c>
      <c r="G89" s="1">
        <v>436</v>
      </c>
      <c r="H89" s="3">
        <v>70500</v>
      </c>
    </row>
    <row r="90" spans="1:8" hidden="1" x14ac:dyDescent="0.25">
      <c r="A90" s="1" t="s">
        <v>371</v>
      </c>
      <c r="B90" s="1">
        <v>1000</v>
      </c>
      <c r="C90" s="1">
        <v>57573</v>
      </c>
      <c r="D90" s="1">
        <v>36000</v>
      </c>
      <c r="E90" s="1">
        <v>3</v>
      </c>
      <c r="F90" s="1">
        <v>-9999.9</v>
      </c>
      <c r="G90" s="1">
        <v>-9999.9</v>
      </c>
      <c r="H90" s="3">
        <v>-100000</v>
      </c>
    </row>
    <row r="91" spans="1:8" x14ac:dyDescent="0.25">
      <c r="A91" s="1" t="s">
        <v>371</v>
      </c>
      <c r="B91" s="1">
        <v>1100</v>
      </c>
      <c r="C91" s="1">
        <v>57573</v>
      </c>
      <c r="D91" s="1">
        <v>39600</v>
      </c>
      <c r="E91" s="1">
        <v>0</v>
      </c>
      <c r="F91" s="1">
        <v>4</v>
      </c>
      <c r="G91" s="1">
        <v>431</v>
      </c>
      <c r="H91" s="3">
        <v>61400</v>
      </c>
    </row>
    <row r="92" spans="1:8" x14ac:dyDescent="0.25">
      <c r="A92" s="1" t="s">
        <v>371</v>
      </c>
      <c r="B92" s="1">
        <v>1200</v>
      </c>
      <c r="C92" s="1">
        <v>57573</v>
      </c>
      <c r="D92" s="1">
        <v>43200</v>
      </c>
      <c r="E92" s="1">
        <v>0</v>
      </c>
      <c r="F92" s="1">
        <v>3.5</v>
      </c>
      <c r="G92" s="1">
        <v>423.2</v>
      </c>
      <c r="H92" s="3">
        <v>56500</v>
      </c>
    </row>
    <row r="93" spans="1:8" x14ac:dyDescent="0.25">
      <c r="A93" s="1" t="s">
        <v>371</v>
      </c>
      <c r="B93" s="1">
        <v>1300</v>
      </c>
      <c r="C93" s="1">
        <v>57573</v>
      </c>
      <c r="D93" s="1">
        <v>46800</v>
      </c>
      <c r="E93" s="1">
        <v>0</v>
      </c>
      <c r="F93" s="1">
        <v>3.9</v>
      </c>
      <c r="G93" s="1">
        <v>415.5</v>
      </c>
      <c r="H93" s="3">
        <v>64400</v>
      </c>
    </row>
    <row r="94" spans="1:8" x14ac:dyDescent="0.25">
      <c r="A94" s="1" t="s">
        <v>371</v>
      </c>
      <c r="B94" s="1">
        <v>1400</v>
      </c>
      <c r="C94" s="1">
        <v>57573</v>
      </c>
      <c r="D94" s="1">
        <v>50400</v>
      </c>
      <c r="E94" s="1">
        <v>0</v>
      </c>
      <c r="F94" s="1">
        <v>3.7</v>
      </c>
      <c r="G94" s="1">
        <v>411.7</v>
      </c>
      <c r="H94" s="3">
        <v>75700</v>
      </c>
    </row>
    <row r="95" spans="1:8" x14ac:dyDescent="0.25">
      <c r="A95" s="1" t="s">
        <v>371</v>
      </c>
      <c r="B95" s="1">
        <v>1500</v>
      </c>
      <c r="C95" s="1">
        <v>57573</v>
      </c>
      <c r="D95" s="1">
        <v>54000</v>
      </c>
      <c r="E95" s="1">
        <v>0</v>
      </c>
      <c r="F95" s="1">
        <v>3.7</v>
      </c>
      <c r="G95" s="1">
        <v>410.7</v>
      </c>
      <c r="H95" s="3">
        <v>92000</v>
      </c>
    </row>
    <row r="96" spans="1:8" x14ac:dyDescent="0.25">
      <c r="A96" s="1" t="s">
        <v>371</v>
      </c>
      <c r="B96" s="1">
        <v>1600</v>
      </c>
      <c r="C96" s="1">
        <v>57573</v>
      </c>
      <c r="D96" s="1">
        <v>57600</v>
      </c>
      <c r="E96" s="1">
        <v>0</v>
      </c>
      <c r="F96" s="1">
        <v>3</v>
      </c>
      <c r="G96" s="1">
        <v>410.3</v>
      </c>
      <c r="H96" s="3">
        <v>74700</v>
      </c>
    </row>
    <row r="97" spans="1:8" x14ac:dyDescent="0.25">
      <c r="A97" s="1" t="s">
        <v>371</v>
      </c>
      <c r="B97" s="1">
        <v>1700</v>
      </c>
      <c r="C97" s="1">
        <v>57573</v>
      </c>
      <c r="D97" s="1">
        <v>61200</v>
      </c>
      <c r="E97" s="1">
        <v>0</v>
      </c>
      <c r="F97" s="1">
        <v>3.3</v>
      </c>
      <c r="G97" s="1">
        <v>409.7</v>
      </c>
      <c r="H97" s="3">
        <v>71900</v>
      </c>
    </row>
    <row r="98" spans="1:8" x14ac:dyDescent="0.25">
      <c r="A98" s="1" t="s">
        <v>371</v>
      </c>
      <c r="B98" s="1">
        <v>1800</v>
      </c>
      <c r="C98" s="1">
        <v>57573</v>
      </c>
      <c r="D98" s="1">
        <v>64800</v>
      </c>
      <c r="E98" s="1">
        <v>0</v>
      </c>
      <c r="F98" s="1">
        <v>7.7</v>
      </c>
      <c r="G98" s="1">
        <v>409.9</v>
      </c>
      <c r="H98" s="3">
        <v>35100</v>
      </c>
    </row>
    <row r="99" spans="1:8" x14ac:dyDescent="0.25">
      <c r="A99" s="1" t="s">
        <v>371</v>
      </c>
      <c r="B99" s="1">
        <v>1900</v>
      </c>
      <c r="C99" s="1">
        <v>57573</v>
      </c>
      <c r="D99" s="1">
        <v>68400</v>
      </c>
      <c r="E99" s="1">
        <v>6</v>
      </c>
      <c r="F99" s="1">
        <v>5.3</v>
      </c>
      <c r="G99" s="1">
        <v>413.2</v>
      </c>
      <c r="H99" s="3">
        <v>24000</v>
      </c>
    </row>
    <row r="100" spans="1:8" x14ac:dyDescent="0.25">
      <c r="A100" s="1" t="s">
        <v>371</v>
      </c>
      <c r="B100" s="1">
        <v>2000</v>
      </c>
      <c r="C100" s="1">
        <v>57573</v>
      </c>
      <c r="D100" s="1">
        <v>72000</v>
      </c>
      <c r="E100" s="1">
        <v>0</v>
      </c>
      <c r="F100" s="1">
        <v>5.2</v>
      </c>
      <c r="G100" s="1">
        <v>411.7</v>
      </c>
      <c r="H100" s="3">
        <v>26100</v>
      </c>
    </row>
    <row r="101" spans="1:8" x14ac:dyDescent="0.25">
      <c r="A101" s="1" t="s">
        <v>371</v>
      </c>
      <c r="B101" s="1">
        <v>2100</v>
      </c>
      <c r="C101" s="1">
        <v>57573</v>
      </c>
      <c r="D101" s="1">
        <v>75600</v>
      </c>
      <c r="E101" s="1">
        <v>0</v>
      </c>
      <c r="F101" s="1">
        <v>5.3</v>
      </c>
      <c r="G101" s="1">
        <v>412.3</v>
      </c>
      <c r="H101" s="3">
        <v>27100</v>
      </c>
    </row>
    <row r="102" spans="1:8" x14ac:dyDescent="0.25">
      <c r="A102" s="1" t="s">
        <v>371</v>
      </c>
      <c r="B102" s="1">
        <v>2200</v>
      </c>
      <c r="C102" s="1">
        <v>57573</v>
      </c>
      <c r="D102" s="1">
        <v>79200</v>
      </c>
      <c r="E102" s="1">
        <v>0</v>
      </c>
      <c r="F102" s="1">
        <v>4.8</v>
      </c>
      <c r="G102" s="1">
        <v>411.6</v>
      </c>
      <c r="H102" s="3">
        <v>33900</v>
      </c>
    </row>
    <row r="103" spans="1:8" x14ac:dyDescent="0.25">
      <c r="A103" s="1" t="s">
        <v>371</v>
      </c>
      <c r="B103" s="1">
        <v>2300</v>
      </c>
      <c r="C103" s="1">
        <v>57573</v>
      </c>
      <c r="D103" s="1">
        <v>82800</v>
      </c>
      <c r="E103" s="1">
        <v>0</v>
      </c>
      <c r="F103" s="1">
        <v>3.9</v>
      </c>
      <c r="G103" s="1">
        <v>397.9</v>
      </c>
      <c r="H103" s="3">
        <v>53500</v>
      </c>
    </row>
    <row r="104" spans="1:8" x14ac:dyDescent="0.25">
      <c r="A104" s="1" t="s">
        <v>372</v>
      </c>
      <c r="B104" s="1">
        <v>0</v>
      </c>
      <c r="C104" s="1">
        <v>57574</v>
      </c>
      <c r="D104" s="1">
        <v>0</v>
      </c>
      <c r="E104" s="1">
        <v>0</v>
      </c>
      <c r="F104" s="1">
        <v>4.4000000000000004</v>
      </c>
      <c r="G104" s="1">
        <v>401.7</v>
      </c>
      <c r="H104" s="3">
        <v>36700</v>
      </c>
    </row>
    <row r="105" spans="1:8" x14ac:dyDescent="0.25">
      <c r="A105" s="1" t="s">
        <v>372</v>
      </c>
      <c r="B105" s="1">
        <v>100</v>
      </c>
      <c r="C105" s="1">
        <v>57574</v>
      </c>
      <c r="D105" s="1">
        <v>3600</v>
      </c>
      <c r="E105" s="1">
        <v>0</v>
      </c>
      <c r="F105" s="1">
        <v>4.4000000000000004</v>
      </c>
      <c r="G105" s="1">
        <v>397.7</v>
      </c>
      <c r="H105" s="3">
        <v>31300</v>
      </c>
    </row>
    <row r="106" spans="1:8" x14ac:dyDescent="0.25">
      <c r="A106" s="1" t="s">
        <v>372</v>
      </c>
      <c r="B106" s="1">
        <v>200</v>
      </c>
      <c r="C106" s="1">
        <v>57574</v>
      </c>
      <c r="D106" s="1">
        <v>7200</v>
      </c>
      <c r="E106" s="1">
        <v>0</v>
      </c>
      <c r="F106" s="1">
        <v>6</v>
      </c>
      <c r="G106" s="1">
        <v>389.2</v>
      </c>
      <c r="H106" s="3">
        <v>39200</v>
      </c>
    </row>
    <row r="107" spans="1:8" x14ac:dyDescent="0.25">
      <c r="A107" s="1" t="s">
        <v>372</v>
      </c>
      <c r="B107" s="1">
        <v>300</v>
      </c>
      <c r="C107" s="1">
        <v>57574</v>
      </c>
      <c r="D107" s="1">
        <v>10800</v>
      </c>
      <c r="E107" s="1">
        <v>0</v>
      </c>
      <c r="F107" s="1">
        <v>4.3</v>
      </c>
      <c r="G107" s="1">
        <v>384.2</v>
      </c>
      <c r="H107" s="3">
        <v>47200</v>
      </c>
    </row>
    <row r="108" spans="1:8" x14ac:dyDescent="0.25">
      <c r="A108" s="1" t="s">
        <v>372</v>
      </c>
      <c r="B108" s="1">
        <v>400</v>
      </c>
      <c r="C108" s="1">
        <v>57574</v>
      </c>
      <c r="D108" s="1">
        <v>14400</v>
      </c>
      <c r="E108" s="1">
        <v>0</v>
      </c>
      <c r="F108" s="1">
        <v>4.5999999999999996</v>
      </c>
      <c r="G108" s="1">
        <v>379.7</v>
      </c>
      <c r="H108" s="3">
        <v>41400</v>
      </c>
    </row>
    <row r="109" spans="1:8" x14ac:dyDescent="0.25">
      <c r="A109" s="1" t="s">
        <v>372</v>
      </c>
      <c r="B109" s="1">
        <v>500</v>
      </c>
      <c r="C109" s="1">
        <v>57574</v>
      </c>
      <c r="D109" s="1">
        <v>18000</v>
      </c>
      <c r="E109" s="1">
        <v>0</v>
      </c>
      <c r="F109" s="1">
        <v>4.3</v>
      </c>
      <c r="G109" s="1">
        <v>380.6</v>
      </c>
      <c r="H109" s="3">
        <v>40300</v>
      </c>
    </row>
    <row r="110" spans="1:8" x14ac:dyDescent="0.25">
      <c r="A110" s="1" t="s">
        <v>372</v>
      </c>
      <c r="B110" s="1">
        <v>600</v>
      </c>
      <c r="C110" s="1">
        <v>57574</v>
      </c>
      <c r="D110" s="1">
        <v>21600</v>
      </c>
      <c r="E110" s="1">
        <v>0</v>
      </c>
      <c r="F110" s="1">
        <v>4.2</v>
      </c>
      <c r="G110" s="1">
        <v>382.5</v>
      </c>
      <c r="H110" s="3">
        <v>43400</v>
      </c>
    </row>
    <row r="111" spans="1:8" x14ac:dyDescent="0.25">
      <c r="A111" s="1" t="s">
        <v>372</v>
      </c>
      <c r="B111" s="1">
        <v>700</v>
      </c>
      <c r="C111" s="1">
        <v>57574</v>
      </c>
      <c r="D111" s="1">
        <v>25200</v>
      </c>
      <c r="E111" s="1">
        <v>0</v>
      </c>
      <c r="F111" s="1">
        <v>5.0999999999999996</v>
      </c>
      <c r="G111" s="1">
        <v>378.2</v>
      </c>
      <c r="H111" s="3">
        <v>33800</v>
      </c>
    </row>
    <row r="112" spans="1:8" x14ac:dyDescent="0.25">
      <c r="A112" s="1" t="s">
        <v>372</v>
      </c>
      <c r="B112" s="1">
        <v>800</v>
      </c>
      <c r="C112" s="1">
        <v>57574</v>
      </c>
      <c r="D112" s="1">
        <v>28800</v>
      </c>
      <c r="E112" s="1">
        <v>0</v>
      </c>
      <c r="F112" s="1">
        <v>4.9000000000000004</v>
      </c>
      <c r="G112" s="1">
        <v>370.6</v>
      </c>
      <c r="H112" s="3">
        <v>38700</v>
      </c>
    </row>
    <row r="113" spans="1:8" x14ac:dyDescent="0.25">
      <c r="A113" s="1" t="s">
        <v>372</v>
      </c>
      <c r="B113" s="1">
        <v>900</v>
      </c>
      <c r="C113" s="1">
        <v>57574</v>
      </c>
      <c r="D113" s="1">
        <v>32400</v>
      </c>
      <c r="E113" s="1">
        <v>0</v>
      </c>
      <c r="F113" s="1">
        <v>5.2</v>
      </c>
      <c r="G113" s="1">
        <v>363.9</v>
      </c>
      <c r="H113" s="3">
        <v>30700</v>
      </c>
    </row>
    <row r="114" spans="1:8" x14ac:dyDescent="0.25">
      <c r="A114" s="1" t="s">
        <v>372</v>
      </c>
      <c r="B114" s="1">
        <v>1000</v>
      </c>
      <c r="C114" s="1">
        <v>57574</v>
      </c>
      <c r="D114" s="1">
        <v>36000</v>
      </c>
      <c r="E114" s="1">
        <v>0</v>
      </c>
      <c r="F114" s="1">
        <v>5.8</v>
      </c>
      <c r="G114" s="1">
        <v>362.2</v>
      </c>
      <c r="H114" s="3">
        <v>23000</v>
      </c>
    </row>
    <row r="115" spans="1:8" x14ac:dyDescent="0.25">
      <c r="A115" s="1" t="s">
        <v>372</v>
      </c>
      <c r="B115" s="1">
        <v>1100</v>
      </c>
      <c r="C115" s="1">
        <v>57574</v>
      </c>
      <c r="D115" s="1">
        <v>39600</v>
      </c>
      <c r="E115" s="1">
        <v>0</v>
      </c>
      <c r="F115" s="1">
        <v>5.6</v>
      </c>
      <c r="G115" s="1">
        <v>359.2</v>
      </c>
      <c r="H115" s="3">
        <v>26500</v>
      </c>
    </row>
    <row r="116" spans="1:8" x14ac:dyDescent="0.25">
      <c r="A116" s="1" t="s">
        <v>372</v>
      </c>
      <c r="B116" s="1">
        <v>1200</v>
      </c>
      <c r="C116" s="1">
        <v>57574</v>
      </c>
      <c r="D116" s="1">
        <v>43200</v>
      </c>
      <c r="E116" s="1">
        <v>0</v>
      </c>
      <c r="F116" s="1">
        <v>4.8</v>
      </c>
      <c r="G116" s="1">
        <v>358.1</v>
      </c>
      <c r="H116" s="3">
        <v>31000</v>
      </c>
    </row>
    <row r="117" spans="1:8" x14ac:dyDescent="0.25">
      <c r="A117" s="1" t="s">
        <v>372</v>
      </c>
      <c r="B117" s="1">
        <v>1300</v>
      </c>
      <c r="C117" s="1">
        <v>57574</v>
      </c>
      <c r="D117" s="1">
        <v>46800</v>
      </c>
      <c r="E117" s="1">
        <v>0</v>
      </c>
      <c r="F117" s="1">
        <v>4.5</v>
      </c>
      <c r="G117" s="1">
        <v>355.9</v>
      </c>
      <c r="H117" s="3">
        <v>30700</v>
      </c>
    </row>
    <row r="118" spans="1:8" x14ac:dyDescent="0.25">
      <c r="A118" s="1" t="s">
        <v>372</v>
      </c>
      <c r="B118" s="1">
        <v>1400</v>
      </c>
      <c r="C118" s="1">
        <v>57574</v>
      </c>
      <c r="D118" s="1">
        <v>50400</v>
      </c>
      <c r="E118" s="1">
        <v>0</v>
      </c>
      <c r="F118" s="1">
        <v>3.1</v>
      </c>
      <c r="G118" s="1">
        <v>351.9</v>
      </c>
      <c r="H118" s="3">
        <v>42000</v>
      </c>
    </row>
    <row r="119" spans="1:8" x14ac:dyDescent="0.25">
      <c r="A119" s="1" t="s">
        <v>372</v>
      </c>
      <c r="B119" s="1">
        <v>1500</v>
      </c>
      <c r="C119" s="1">
        <v>57574</v>
      </c>
      <c r="D119" s="1">
        <v>54000</v>
      </c>
      <c r="E119" s="1">
        <v>0</v>
      </c>
      <c r="F119" s="1">
        <v>2.7</v>
      </c>
      <c r="G119" s="1">
        <v>350.9</v>
      </c>
      <c r="H119" s="3">
        <v>41300</v>
      </c>
    </row>
    <row r="120" spans="1:8" x14ac:dyDescent="0.25">
      <c r="A120" s="1" t="s">
        <v>372</v>
      </c>
      <c r="B120" s="1">
        <v>1600</v>
      </c>
      <c r="C120" s="1">
        <v>57574</v>
      </c>
      <c r="D120" s="1">
        <v>57600</v>
      </c>
      <c r="E120" s="1">
        <v>0</v>
      </c>
      <c r="F120" s="1">
        <v>3.2</v>
      </c>
      <c r="G120" s="1">
        <v>349.8</v>
      </c>
      <c r="H120" s="3">
        <v>34900</v>
      </c>
    </row>
    <row r="121" spans="1:8" x14ac:dyDescent="0.25">
      <c r="A121" s="1" t="s">
        <v>372</v>
      </c>
      <c r="B121" s="1">
        <v>1700</v>
      </c>
      <c r="C121" s="1">
        <v>57574</v>
      </c>
      <c r="D121" s="1">
        <v>61200</v>
      </c>
      <c r="E121" s="1">
        <v>0</v>
      </c>
      <c r="F121" s="1">
        <v>3.5</v>
      </c>
      <c r="G121" s="1">
        <v>347</v>
      </c>
      <c r="H121" s="3">
        <v>35100</v>
      </c>
    </row>
    <row r="122" spans="1:8" hidden="1" x14ac:dyDescent="0.25">
      <c r="A122" s="1" t="s">
        <v>372</v>
      </c>
      <c r="B122" s="1">
        <v>1800</v>
      </c>
      <c r="C122" s="1">
        <v>57574</v>
      </c>
      <c r="D122" s="1">
        <v>64800</v>
      </c>
      <c r="E122" s="1">
        <v>3</v>
      </c>
      <c r="F122" s="1">
        <v>-9999.9</v>
      </c>
      <c r="G122" s="1">
        <v>-9999.9</v>
      </c>
      <c r="H122" s="3">
        <v>-100000</v>
      </c>
    </row>
    <row r="123" spans="1:8" x14ac:dyDescent="0.25">
      <c r="A123" s="1" t="s">
        <v>372</v>
      </c>
      <c r="B123" s="1">
        <v>1900</v>
      </c>
      <c r="C123" s="1">
        <v>57574</v>
      </c>
      <c r="D123" s="1">
        <v>68400</v>
      </c>
      <c r="E123" s="1">
        <v>0</v>
      </c>
      <c r="F123" s="1">
        <v>2.8</v>
      </c>
      <c r="G123" s="1">
        <v>340.8</v>
      </c>
      <c r="H123" s="3">
        <v>40100</v>
      </c>
    </row>
    <row r="124" spans="1:8" x14ac:dyDescent="0.25">
      <c r="A124" s="1" t="s">
        <v>372</v>
      </c>
      <c r="B124" s="1">
        <v>2000</v>
      </c>
      <c r="C124" s="1">
        <v>57574</v>
      </c>
      <c r="D124" s="1">
        <v>72000</v>
      </c>
      <c r="E124" s="1">
        <v>0</v>
      </c>
      <c r="F124" s="1">
        <v>2.6</v>
      </c>
      <c r="G124" s="1">
        <v>339.3</v>
      </c>
      <c r="H124" s="3">
        <v>44400</v>
      </c>
    </row>
    <row r="125" spans="1:8" x14ac:dyDescent="0.25">
      <c r="A125" s="1" t="s">
        <v>372</v>
      </c>
      <c r="B125" s="1">
        <v>2100</v>
      </c>
      <c r="C125" s="1">
        <v>57574</v>
      </c>
      <c r="D125" s="1">
        <v>75600</v>
      </c>
      <c r="E125" s="1">
        <v>0</v>
      </c>
      <c r="F125" s="1">
        <v>2.7</v>
      </c>
      <c r="G125" s="1">
        <v>335.8</v>
      </c>
      <c r="H125" s="3">
        <v>41000</v>
      </c>
    </row>
    <row r="126" spans="1:8" x14ac:dyDescent="0.25">
      <c r="A126" s="1" t="s">
        <v>372</v>
      </c>
      <c r="B126" s="1">
        <v>2200</v>
      </c>
      <c r="C126" s="1">
        <v>57574</v>
      </c>
      <c r="D126" s="1">
        <v>79200</v>
      </c>
      <c r="E126" s="1">
        <v>0</v>
      </c>
      <c r="F126" s="1">
        <v>3</v>
      </c>
      <c r="G126" s="1">
        <v>334.7</v>
      </c>
      <c r="H126" s="3">
        <v>42100</v>
      </c>
    </row>
    <row r="127" spans="1:8" x14ac:dyDescent="0.25">
      <c r="A127" s="1" t="s">
        <v>372</v>
      </c>
      <c r="B127" s="1">
        <v>2300</v>
      </c>
      <c r="C127" s="1">
        <v>57574</v>
      </c>
      <c r="D127" s="1">
        <v>82800</v>
      </c>
      <c r="E127" s="1">
        <v>0</v>
      </c>
      <c r="F127" s="1">
        <v>3.3</v>
      </c>
      <c r="G127" s="1">
        <v>333.8</v>
      </c>
      <c r="H127" s="3">
        <v>43000</v>
      </c>
    </row>
    <row r="128" spans="1:8" x14ac:dyDescent="0.25">
      <c r="A128" s="1" t="s">
        <v>373</v>
      </c>
      <c r="B128" s="1">
        <v>0</v>
      </c>
      <c r="C128" s="1">
        <v>57575</v>
      </c>
      <c r="D128" s="1">
        <v>0</v>
      </c>
      <c r="E128" s="1">
        <v>0</v>
      </c>
      <c r="F128" s="1">
        <v>3</v>
      </c>
      <c r="G128" s="1">
        <v>332.8</v>
      </c>
      <c r="H128" s="3">
        <v>34500</v>
      </c>
    </row>
    <row r="129" spans="1:8" x14ac:dyDescent="0.25">
      <c r="A129" s="1" t="s">
        <v>373</v>
      </c>
      <c r="B129" s="1">
        <v>100</v>
      </c>
      <c r="C129" s="1">
        <v>57575</v>
      </c>
      <c r="D129" s="1">
        <v>3600</v>
      </c>
      <c r="E129" s="1">
        <v>1</v>
      </c>
      <c r="F129" s="1">
        <v>3.6</v>
      </c>
      <c r="G129" s="1">
        <v>332</v>
      </c>
      <c r="H129" s="3">
        <v>36000</v>
      </c>
    </row>
    <row r="130" spans="1:8" x14ac:dyDescent="0.25">
      <c r="A130" s="1" t="s">
        <v>373</v>
      </c>
      <c r="B130" s="1">
        <v>200</v>
      </c>
      <c r="C130" s="1">
        <v>57575</v>
      </c>
      <c r="D130" s="1">
        <v>7200</v>
      </c>
      <c r="E130" s="1">
        <v>0</v>
      </c>
      <c r="F130" s="1">
        <v>4.4000000000000004</v>
      </c>
      <c r="G130" s="1">
        <v>327.3</v>
      </c>
      <c r="H130" s="3">
        <v>32700</v>
      </c>
    </row>
    <row r="131" spans="1:8" x14ac:dyDescent="0.25">
      <c r="A131" s="1" t="s">
        <v>373</v>
      </c>
      <c r="B131" s="1">
        <v>300</v>
      </c>
      <c r="C131" s="1">
        <v>57575</v>
      </c>
      <c r="D131" s="1">
        <v>10800</v>
      </c>
      <c r="E131" s="1">
        <v>0</v>
      </c>
      <c r="F131" s="1">
        <v>5</v>
      </c>
      <c r="G131" s="1">
        <v>330.2</v>
      </c>
      <c r="H131" s="3">
        <v>29800</v>
      </c>
    </row>
    <row r="132" spans="1:8" x14ac:dyDescent="0.25">
      <c r="A132" s="1" t="s">
        <v>373</v>
      </c>
      <c r="B132" s="1">
        <v>400</v>
      </c>
      <c r="C132" s="1">
        <v>57575</v>
      </c>
      <c r="D132" s="1">
        <v>14400</v>
      </c>
      <c r="E132" s="1">
        <v>0</v>
      </c>
      <c r="F132" s="1">
        <v>5.3</v>
      </c>
      <c r="G132" s="1">
        <v>326.7</v>
      </c>
      <c r="H132" s="3">
        <v>27100</v>
      </c>
    </row>
    <row r="133" spans="1:8" x14ac:dyDescent="0.25">
      <c r="A133" s="1" t="s">
        <v>373</v>
      </c>
      <c r="B133" s="1">
        <v>500</v>
      </c>
      <c r="C133" s="1">
        <v>57575</v>
      </c>
      <c r="D133" s="1">
        <v>18000</v>
      </c>
      <c r="E133" s="1">
        <v>0</v>
      </c>
      <c r="F133" s="1">
        <v>5.2</v>
      </c>
      <c r="G133" s="1">
        <v>322.39999999999998</v>
      </c>
      <c r="H133" s="3">
        <v>21900</v>
      </c>
    </row>
    <row r="134" spans="1:8" x14ac:dyDescent="0.25">
      <c r="A134" s="1" t="s">
        <v>373</v>
      </c>
      <c r="B134" s="1">
        <v>600</v>
      </c>
      <c r="C134" s="1">
        <v>57575</v>
      </c>
      <c r="D134" s="1">
        <v>21600</v>
      </c>
      <c r="E134" s="1">
        <v>0</v>
      </c>
      <c r="F134" s="1">
        <v>5.7</v>
      </c>
      <c r="G134" s="1">
        <v>322.7</v>
      </c>
      <c r="H134" s="3">
        <v>20400</v>
      </c>
    </row>
    <row r="135" spans="1:8" x14ac:dyDescent="0.25">
      <c r="A135" s="1" t="s">
        <v>373</v>
      </c>
      <c r="B135" s="1">
        <v>700</v>
      </c>
      <c r="C135" s="1">
        <v>57575</v>
      </c>
      <c r="D135" s="1">
        <v>25200</v>
      </c>
      <c r="E135" s="1">
        <v>0</v>
      </c>
      <c r="F135" s="1">
        <v>4.5</v>
      </c>
      <c r="G135" s="1">
        <v>321.39999999999998</v>
      </c>
      <c r="H135" s="3">
        <v>20000</v>
      </c>
    </row>
    <row r="136" spans="1:8" x14ac:dyDescent="0.25">
      <c r="A136" s="1" t="s">
        <v>373</v>
      </c>
      <c r="B136" s="1">
        <v>800</v>
      </c>
      <c r="C136" s="1">
        <v>57575</v>
      </c>
      <c r="D136" s="1">
        <v>28800</v>
      </c>
      <c r="E136" s="1">
        <v>0</v>
      </c>
      <c r="F136" s="1">
        <v>4.5999999999999996</v>
      </c>
      <c r="G136" s="1">
        <v>319.60000000000002</v>
      </c>
      <c r="H136" s="3">
        <v>16700</v>
      </c>
    </row>
    <row r="137" spans="1:8" x14ac:dyDescent="0.25">
      <c r="A137" s="1" t="s">
        <v>373</v>
      </c>
      <c r="B137" s="1">
        <v>900</v>
      </c>
      <c r="C137" s="1">
        <v>57575</v>
      </c>
      <c r="D137" s="1">
        <v>32400</v>
      </c>
      <c r="E137" s="1">
        <v>0</v>
      </c>
      <c r="F137" s="1">
        <v>4.9000000000000004</v>
      </c>
      <c r="G137" s="1">
        <v>319.8</v>
      </c>
      <c r="H137" s="3">
        <v>17000</v>
      </c>
    </row>
    <row r="138" spans="1:8" x14ac:dyDescent="0.25">
      <c r="A138" s="1" t="s">
        <v>373</v>
      </c>
      <c r="B138" s="1">
        <v>1000</v>
      </c>
      <c r="C138" s="1">
        <v>57575</v>
      </c>
      <c r="D138" s="1">
        <v>36000</v>
      </c>
      <c r="E138" s="1">
        <v>0</v>
      </c>
      <c r="F138" s="1">
        <v>5</v>
      </c>
      <c r="G138" s="1">
        <v>320.2</v>
      </c>
      <c r="H138" s="3">
        <v>18600</v>
      </c>
    </row>
    <row r="139" spans="1:8" x14ac:dyDescent="0.25">
      <c r="A139" s="1" t="s">
        <v>373</v>
      </c>
      <c r="B139" s="1">
        <v>1100</v>
      </c>
      <c r="C139" s="1">
        <v>57575</v>
      </c>
      <c r="D139" s="1">
        <v>39600</v>
      </c>
      <c r="E139" s="1">
        <v>0</v>
      </c>
      <c r="F139" s="1">
        <v>5.0999999999999996</v>
      </c>
      <c r="G139" s="1">
        <v>321.3</v>
      </c>
      <c r="H139" s="3">
        <v>19000</v>
      </c>
    </row>
    <row r="140" spans="1:8" x14ac:dyDescent="0.25">
      <c r="A140" s="1" t="s">
        <v>373</v>
      </c>
      <c r="B140" s="1">
        <v>1200</v>
      </c>
      <c r="C140" s="1">
        <v>57575</v>
      </c>
      <c r="D140" s="1">
        <v>43200</v>
      </c>
      <c r="E140" s="1">
        <v>0</v>
      </c>
      <c r="F140" s="1">
        <v>5.7</v>
      </c>
      <c r="G140" s="1">
        <v>322.2</v>
      </c>
      <c r="H140" s="3">
        <v>19000</v>
      </c>
    </row>
    <row r="141" spans="1:8" x14ac:dyDescent="0.25">
      <c r="A141" s="1" t="s">
        <v>373</v>
      </c>
      <c r="B141" s="1">
        <v>1300</v>
      </c>
      <c r="C141" s="1">
        <v>57575</v>
      </c>
      <c r="D141" s="1">
        <v>46800</v>
      </c>
      <c r="E141" s="1">
        <v>0</v>
      </c>
      <c r="F141" s="1">
        <v>6.1</v>
      </c>
      <c r="G141" s="1">
        <v>320.5</v>
      </c>
      <c r="H141" s="3">
        <v>21300</v>
      </c>
    </row>
    <row r="142" spans="1:8" x14ac:dyDescent="0.25">
      <c r="A142" s="1" t="s">
        <v>373</v>
      </c>
      <c r="B142" s="1">
        <v>1400</v>
      </c>
      <c r="C142" s="1">
        <v>57575</v>
      </c>
      <c r="D142" s="1">
        <v>50400</v>
      </c>
      <c r="E142" s="1">
        <v>0</v>
      </c>
      <c r="F142" s="1">
        <v>6.2</v>
      </c>
      <c r="G142" s="1">
        <v>316.60000000000002</v>
      </c>
      <c r="H142" s="3">
        <v>18900</v>
      </c>
    </row>
    <row r="143" spans="1:8" x14ac:dyDescent="0.25">
      <c r="A143" s="1" t="s">
        <v>373</v>
      </c>
      <c r="B143" s="1">
        <v>1500</v>
      </c>
      <c r="C143" s="1">
        <v>57575</v>
      </c>
      <c r="D143" s="1">
        <v>54000</v>
      </c>
      <c r="E143" s="1">
        <v>0</v>
      </c>
      <c r="F143" s="1">
        <v>6.7</v>
      </c>
      <c r="G143" s="1">
        <v>314.8</v>
      </c>
      <c r="H143" s="3">
        <v>21400</v>
      </c>
    </row>
    <row r="144" spans="1:8" x14ac:dyDescent="0.25">
      <c r="A144" s="1" t="s">
        <v>373</v>
      </c>
      <c r="B144" s="1">
        <v>1600</v>
      </c>
      <c r="C144" s="1">
        <v>57575</v>
      </c>
      <c r="D144" s="1">
        <v>57600</v>
      </c>
      <c r="E144" s="1">
        <v>0</v>
      </c>
      <c r="F144" s="1">
        <v>8.3000000000000007</v>
      </c>
      <c r="G144" s="1">
        <v>312.5</v>
      </c>
      <c r="H144" s="3">
        <v>26800</v>
      </c>
    </row>
    <row r="145" spans="1:8" x14ac:dyDescent="0.25">
      <c r="A145" s="1" t="s">
        <v>373</v>
      </c>
      <c r="B145" s="1">
        <v>1700</v>
      </c>
      <c r="C145" s="1">
        <v>57575</v>
      </c>
      <c r="D145" s="1">
        <v>61200</v>
      </c>
      <c r="E145" s="1">
        <v>0</v>
      </c>
      <c r="F145" s="1">
        <v>8.3000000000000007</v>
      </c>
      <c r="G145" s="1">
        <v>314.7</v>
      </c>
      <c r="H145" s="3">
        <v>28000</v>
      </c>
    </row>
    <row r="146" spans="1:8" x14ac:dyDescent="0.25">
      <c r="A146" s="1" t="s">
        <v>373</v>
      </c>
      <c r="B146" s="1">
        <v>1800</v>
      </c>
      <c r="C146" s="1">
        <v>57575</v>
      </c>
      <c r="D146" s="1">
        <v>64800</v>
      </c>
      <c r="E146" s="1">
        <v>0</v>
      </c>
      <c r="F146" s="1">
        <v>7.7</v>
      </c>
      <c r="G146" s="1">
        <v>308.89999999999998</v>
      </c>
      <c r="H146" s="3">
        <v>23500</v>
      </c>
    </row>
    <row r="147" spans="1:8" x14ac:dyDescent="0.25">
      <c r="A147" s="1" t="s">
        <v>373</v>
      </c>
      <c r="B147" s="1">
        <v>1900</v>
      </c>
      <c r="C147" s="1">
        <v>57575</v>
      </c>
      <c r="D147" s="1">
        <v>68400</v>
      </c>
      <c r="E147" s="1">
        <v>0</v>
      </c>
      <c r="F147" s="1">
        <v>7.9</v>
      </c>
      <c r="G147" s="1">
        <v>310.5</v>
      </c>
      <c r="H147" s="3">
        <v>26300</v>
      </c>
    </row>
    <row r="148" spans="1:8" x14ac:dyDescent="0.25">
      <c r="A148" s="1" t="s">
        <v>373</v>
      </c>
      <c r="B148" s="1">
        <v>2000</v>
      </c>
      <c r="C148" s="1">
        <v>57575</v>
      </c>
      <c r="D148" s="1">
        <v>72000</v>
      </c>
      <c r="E148" s="1">
        <v>1</v>
      </c>
      <c r="F148" s="1">
        <v>11.6</v>
      </c>
      <c r="G148" s="1">
        <v>313</v>
      </c>
      <c r="H148" s="3">
        <v>33200</v>
      </c>
    </row>
    <row r="149" spans="1:8" x14ac:dyDescent="0.25">
      <c r="A149" s="1" t="s">
        <v>373</v>
      </c>
      <c r="B149" s="1">
        <v>2100</v>
      </c>
      <c r="C149" s="1">
        <v>57575</v>
      </c>
      <c r="D149" s="1">
        <v>75600</v>
      </c>
      <c r="E149" s="1">
        <v>0</v>
      </c>
      <c r="F149" s="1">
        <v>18.5</v>
      </c>
      <c r="G149" s="1">
        <v>320.8</v>
      </c>
      <c r="H149" s="3">
        <v>37500</v>
      </c>
    </row>
    <row r="150" spans="1:8" x14ac:dyDescent="0.25">
      <c r="A150" s="1" t="s">
        <v>373</v>
      </c>
      <c r="B150" s="1">
        <v>2200</v>
      </c>
      <c r="C150" s="1">
        <v>57575</v>
      </c>
      <c r="D150" s="1">
        <v>79200</v>
      </c>
      <c r="E150" s="1">
        <v>0</v>
      </c>
      <c r="F150" s="1">
        <v>16.600000000000001</v>
      </c>
      <c r="G150" s="1">
        <v>321.2</v>
      </c>
      <c r="H150" s="3">
        <v>33800</v>
      </c>
    </row>
    <row r="151" spans="1:8" x14ac:dyDescent="0.25">
      <c r="A151" s="1" t="s">
        <v>373</v>
      </c>
      <c r="B151" s="1">
        <v>2300</v>
      </c>
      <c r="C151" s="1">
        <v>57575</v>
      </c>
      <c r="D151" s="1">
        <v>82800</v>
      </c>
      <c r="E151" s="1">
        <v>0</v>
      </c>
      <c r="F151" s="1">
        <v>23.5</v>
      </c>
      <c r="G151" s="1">
        <v>329.2</v>
      </c>
      <c r="H151" s="3">
        <v>34300</v>
      </c>
    </row>
    <row r="152" spans="1:8" x14ac:dyDescent="0.25">
      <c r="A152" s="1" t="s">
        <v>374</v>
      </c>
      <c r="B152" s="1">
        <v>0</v>
      </c>
      <c r="C152" s="1">
        <v>57576</v>
      </c>
      <c r="D152" s="1">
        <v>0</v>
      </c>
      <c r="E152" s="1">
        <v>0</v>
      </c>
      <c r="F152" s="1">
        <v>25.8</v>
      </c>
      <c r="G152" s="1">
        <v>341.6</v>
      </c>
      <c r="H152" s="3">
        <v>44900</v>
      </c>
    </row>
    <row r="153" spans="1:8" x14ac:dyDescent="0.25">
      <c r="A153" s="1" t="s">
        <v>374</v>
      </c>
      <c r="B153" s="1">
        <v>100</v>
      </c>
      <c r="C153" s="1">
        <v>57576</v>
      </c>
      <c r="D153" s="1">
        <v>3600</v>
      </c>
      <c r="E153" s="1">
        <v>0</v>
      </c>
      <c r="F153" s="1">
        <v>12.1</v>
      </c>
      <c r="G153" s="1">
        <v>378.1</v>
      </c>
      <c r="H153" s="3">
        <v>90300</v>
      </c>
    </row>
    <row r="154" spans="1:8" x14ac:dyDescent="0.25">
      <c r="A154" s="1" t="s">
        <v>374</v>
      </c>
      <c r="B154" s="1">
        <v>200</v>
      </c>
      <c r="C154" s="1">
        <v>57576</v>
      </c>
      <c r="D154" s="1">
        <v>7200</v>
      </c>
      <c r="E154" s="1">
        <v>0</v>
      </c>
      <c r="F154" s="1">
        <v>12.8</v>
      </c>
      <c r="G154" s="1">
        <v>391.2</v>
      </c>
      <c r="H154" s="3">
        <v>137000</v>
      </c>
    </row>
    <row r="155" spans="1:8" x14ac:dyDescent="0.25">
      <c r="A155" s="1" t="s">
        <v>374</v>
      </c>
      <c r="B155" s="1">
        <v>300</v>
      </c>
      <c r="C155" s="1">
        <v>57576</v>
      </c>
      <c r="D155" s="1">
        <v>10800</v>
      </c>
      <c r="E155" s="1">
        <v>0</v>
      </c>
      <c r="F155" s="1">
        <v>12</v>
      </c>
      <c r="G155" s="1">
        <v>398.9</v>
      </c>
      <c r="H155" s="3">
        <v>151000</v>
      </c>
    </row>
    <row r="156" spans="1:8" x14ac:dyDescent="0.25">
      <c r="A156" s="1" t="s">
        <v>374</v>
      </c>
      <c r="B156" s="1">
        <v>400</v>
      </c>
      <c r="C156" s="1">
        <v>57576</v>
      </c>
      <c r="D156" s="1">
        <v>14400</v>
      </c>
      <c r="E156" s="1">
        <v>0</v>
      </c>
      <c r="F156" s="1">
        <v>11.4</v>
      </c>
      <c r="G156" s="1">
        <v>404.2</v>
      </c>
      <c r="H156" s="3">
        <v>138000</v>
      </c>
    </row>
    <row r="157" spans="1:8" x14ac:dyDescent="0.25">
      <c r="A157" s="1" t="s">
        <v>374</v>
      </c>
      <c r="B157" s="1">
        <v>500</v>
      </c>
      <c r="C157" s="1">
        <v>57576</v>
      </c>
      <c r="D157" s="1">
        <v>18000</v>
      </c>
      <c r="E157" s="1">
        <v>0</v>
      </c>
      <c r="F157" s="1">
        <v>11.2</v>
      </c>
      <c r="G157" s="1">
        <v>414.1</v>
      </c>
      <c r="H157" s="3">
        <v>128000</v>
      </c>
    </row>
    <row r="158" spans="1:8" x14ac:dyDescent="0.25">
      <c r="A158" s="1" t="s">
        <v>374</v>
      </c>
      <c r="B158" s="1">
        <v>600</v>
      </c>
      <c r="C158" s="1">
        <v>57576</v>
      </c>
      <c r="D158" s="1">
        <v>21600</v>
      </c>
      <c r="E158" s="1">
        <v>1</v>
      </c>
      <c r="F158" s="1">
        <v>8.8000000000000007</v>
      </c>
      <c r="G158" s="1">
        <v>414.6</v>
      </c>
      <c r="H158" s="3">
        <v>151000</v>
      </c>
    </row>
    <row r="159" spans="1:8" x14ac:dyDescent="0.25">
      <c r="A159" s="1" t="s">
        <v>374</v>
      </c>
      <c r="B159" s="1">
        <v>700</v>
      </c>
      <c r="C159" s="1">
        <v>57576</v>
      </c>
      <c r="D159" s="1">
        <v>25200</v>
      </c>
      <c r="E159" s="1">
        <v>0</v>
      </c>
      <c r="F159" s="1">
        <v>9.3000000000000007</v>
      </c>
      <c r="G159" s="1">
        <v>419.5</v>
      </c>
      <c r="H159" s="3">
        <v>139000</v>
      </c>
    </row>
    <row r="160" spans="1:8" hidden="1" x14ac:dyDescent="0.25">
      <c r="A160" s="1" t="s">
        <v>374</v>
      </c>
      <c r="B160" s="1">
        <v>800</v>
      </c>
      <c r="C160" s="1">
        <v>57576</v>
      </c>
      <c r="D160" s="1">
        <v>28800</v>
      </c>
      <c r="E160" s="1">
        <v>3</v>
      </c>
      <c r="F160" s="1">
        <v>-9999.9</v>
      </c>
      <c r="G160" s="1">
        <v>-9999.9</v>
      </c>
      <c r="H160" s="3">
        <v>-100000</v>
      </c>
    </row>
    <row r="161" spans="1:8" x14ac:dyDescent="0.25">
      <c r="A161" s="1" t="s">
        <v>374</v>
      </c>
      <c r="B161" s="1">
        <v>900</v>
      </c>
      <c r="C161" s="1">
        <v>57576</v>
      </c>
      <c r="D161" s="1">
        <v>32400</v>
      </c>
      <c r="E161" s="1">
        <v>0</v>
      </c>
      <c r="F161" s="1">
        <v>11</v>
      </c>
      <c r="G161" s="1">
        <v>413.3</v>
      </c>
      <c r="H161" s="3">
        <v>92200</v>
      </c>
    </row>
    <row r="162" spans="1:8" x14ac:dyDescent="0.25">
      <c r="A162" s="1" t="s">
        <v>374</v>
      </c>
      <c r="B162" s="1">
        <v>1000</v>
      </c>
      <c r="C162" s="1">
        <v>57576</v>
      </c>
      <c r="D162" s="1">
        <v>36000</v>
      </c>
      <c r="E162" s="1">
        <v>1</v>
      </c>
      <c r="F162" s="1">
        <v>11.8</v>
      </c>
      <c r="G162" s="1">
        <v>418.8</v>
      </c>
      <c r="H162" s="3">
        <v>134000</v>
      </c>
    </row>
    <row r="163" spans="1:8" x14ac:dyDescent="0.25">
      <c r="A163" s="1" t="s">
        <v>374</v>
      </c>
      <c r="B163" s="1">
        <v>1100</v>
      </c>
      <c r="C163" s="1">
        <v>57576</v>
      </c>
      <c r="D163" s="1">
        <v>39600</v>
      </c>
      <c r="E163" s="1">
        <v>0</v>
      </c>
      <c r="F163" s="1">
        <v>11.8</v>
      </c>
      <c r="G163" s="1">
        <v>418.3</v>
      </c>
      <c r="H163" s="3">
        <v>131000</v>
      </c>
    </row>
    <row r="164" spans="1:8" x14ac:dyDescent="0.25">
      <c r="A164" s="1" t="s">
        <v>374</v>
      </c>
      <c r="B164" s="1">
        <v>1200</v>
      </c>
      <c r="C164" s="1">
        <v>57576</v>
      </c>
      <c r="D164" s="1">
        <v>43200</v>
      </c>
      <c r="E164" s="1">
        <v>0</v>
      </c>
      <c r="F164" s="1">
        <v>12.1</v>
      </c>
      <c r="G164" s="1">
        <v>425.3</v>
      </c>
      <c r="H164" s="3">
        <v>157000</v>
      </c>
    </row>
    <row r="165" spans="1:8" x14ac:dyDescent="0.25">
      <c r="A165" s="1" t="s">
        <v>374</v>
      </c>
      <c r="B165" s="1">
        <v>1300</v>
      </c>
      <c r="C165" s="1">
        <v>57576</v>
      </c>
      <c r="D165" s="1">
        <v>46800</v>
      </c>
      <c r="E165" s="1">
        <v>1</v>
      </c>
      <c r="F165" s="1">
        <v>8</v>
      </c>
      <c r="G165" s="1">
        <v>459.4</v>
      </c>
      <c r="H165" s="3">
        <v>218000</v>
      </c>
    </row>
    <row r="166" spans="1:8" x14ac:dyDescent="0.25">
      <c r="A166" s="1" t="s">
        <v>374</v>
      </c>
      <c r="B166" s="1">
        <v>1400</v>
      </c>
      <c r="C166" s="1">
        <v>57576</v>
      </c>
      <c r="D166" s="1">
        <v>50400</v>
      </c>
      <c r="E166" s="1">
        <v>0</v>
      </c>
      <c r="F166" s="1">
        <v>10</v>
      </c>
      <c r="G166" s="1">
        <v>453.1</v>
      </c>
      <c r="H166" s="3">
        <v>202000</v>
      </c>
    </row>
    <row r="167" spans="1:8" x14ac:dyDescent="0.25">
      <c r="A167" s="1" t="s">
        <v>374</v>
      </c>
      <c r="B167" s="1">
        <v>1500</v>
      </c>
      <c r="C167" s="1">
        <v>57576</v>
      </c>
      <c r="D167" s="1">
        <v>54000</v>
      </c>
      <c r="E167" s="1">
        <v>1</v>
      </c>
      <c r="F167" s="1">
        <v>7.9</v>
      </c>
      <c r="G167" s="1">
        <v>483.6</v>
      </c>
      <c r="H167" s="3">
        <v>262000</v>
      </c>
    </row>
    <row r="168" spans="1:8" x14ac:dyDescent="0.25">
      <c r="A168" s="1" t="s">
        <v>374</v>
      </c>
      <c r="B168" s="1">
        <v>1600</v>
      </c>
      <c r="C168" s="1">
        <v>57576</v>
      </c>
      <c r="D168" s="1">
        <v>57600</v>
      </c>
      <c r="E168" s="1">
        <v>0</v>
      </c>
      <c r="F168" s="1">
        <v>4.4000000000000004</v>
      </c>
      <c r="G168" s="1">
        <v>507.6</v>
      </c>
      <c r="H168" s="3">
        <v>309000</v>
      </c>
    </row>
    <row r="169" spans="1:8" x14ac:dyDescent="0.25">
      <c r="A169" s="1" t="s">
        <v>374</v>
      </c>
      <c r="B169" s="1">
        <v>1700</v>
      </c>
      <c r="C169" s="1">
        <v>57576</v>
      </c>
      <c r="D169" s="1">
        <v>61200</v>
      </c>
      <c r="E169" s="1">
        <v>0</v>
      </c>
      <c r="F169" s="1">
        <v>4.9000000000000004</v>
      </c>
      <c r="G169" s="1">
        <v>495.4</v>
      </c>
      <c r="H169" s="3">
        <v>267000</v>
      </c>
    </row>
    <row r="170" spans="1:8" x14ac:dyDescent="0.25">
      <c r="A170" s="1" t="s">
        <v>374</v>
      </c>
      <c r="B170" s="1">
        <v>1800</v>
      </c>
      <c r="C170" s="1">
        <v>57576</v>
      </c>
      <c r="D170" s="1">
        <v>64800</v>
      </c>
      <c r="E170" s="1">
        <v>0</v>
      </c>
      <c r="F170" s="1">
        <v>8.5</v>
      </c>
      <c r="G170" s="1">
        <v>512</v>
      </c>
      <c r="H170" s="3">
        <v>299000</v>
      </c>
    </row>
    <row r="171" spans="1:8" x14ac:dyDescent="0.25">
      <c r="A171" s="1" t="s">
        <v>374</v>
      </c>
      <c r="B171" s="1">
        <v>1900</v>
      </c>
      <c r="C171" s="1">
        <v>57576</v>
      </c>
      <c r="D171" s="1">
        <v>68400</v>
      </c>
      <c r="E171" s="1">
        <v>0</v>
      </c>
      <c r="F171" s="1">
        <v>4.5999999999999996</v>
      </c>
      <c r="G171" s="1">
        <v>498.4</v>
      </c>
      <c r="H171" s="3">
        <v>278000</v>
      </c>
    </row>
    <row r="172" spans="1:8" x14ac:dyDescent="0.25">
      <c r="A172" s="1" t="s">
        <v>374</v>
      </c>
      <c r="B172" s="1">
        <v>2000</v>
      </c>
      <c r="C172" s="1">
        <v>57576</v>
      </c>
      <c r="D172" s="1">
        <v>72000</v>
      </c>
      <c r="E172" s="1">
        <v>0</v>
      </c>
      <c r="F172" s="1">
        <v>7.2</v>
      </c>
      <c r="G172" s="1">
        <v>488.1</v>
      </c>
      <c r="H172" s="3">
        <v>250000</v>
      </c>
    </row>
    <row r="173" spans="1:8" x14ac:dyDescent="0.25">
      <c r="A173" s="1" t="s">
        <v>374</v>
      </c>
      <c r="B173" s="1">
        <v>2100</v>
      </c>
      <c r="C173" s="1">
        <v>57576</v>
      </c>
      <c r="D173" s="1">
        <v>75600</v>
      </c>
      <c r="E173" s="1">
        <v>0</v>
      </c>
      <c r="F173" s="1">
        <v>7.3</v>
      </c>
      <c r="G173" s="1">
        <v>497.6</v>
      </c>
      <c r="H173" s="3">
        <v>249000</v>
      </c>
    </row>
    <row r="174" spans="1:8" x14ac:dyDescent="0.25">
      <c r="A174" s="1" t="s">
        <v>374</v>
      </c>
      <c r="B174" s="1">
        <v>2200</v>
      </c>
      <c r="C174" s="1">
        <v>57576</v>
      </c>
      <c r="D174" s="1">
        <v>79200</v>
      </c>
      <c r="E174" s="1">
        <v>1</v>
      </c>
      <c r="F174" s="1">
        <v>5.7</v>
      </c>
      <c r="G174" s="1">
        <v>482.2</v>
      </c>
      <c r="H174" s="3">
        <v>204000</v>
      </c>
    </row>
    <row r="175" spans="1:8" x14ac:dyDescent="0.25">
      <c r="A175" s="1" t="s">
        <v>374</v>
      </c>
      <c r="B175" s="1">
        <v>2300</v>
      </c>
      <c r="C175" s="1">
        <v>57576</v>
      </c>
      <c r="D175" s="1">
        <v>82800</v>
      </c>
      <c r="E175" s="1">
        <v>0</v>
      </c>
      <c r="F175" s="1">
        <v>8.3000000000000007</v>
      </c>
      <c r="G175" s="1">
        <v>519.6</v>
      </c>
      <c r="H175" s="3">
        <v>211000</v>
      </c>
    </row>
    <row r="176" spans="1:8" x14ac:dyDescent="0.25">
      <c r="A176" s="1" t="s">
        <v>375</v>
      </c>
      <c r="B176" s="1">
        <v>0</v>
      </c>
      <c r="C176" s="1">
        <v>57577</v>
      </c>
      <c r="D176" s="1">
        <v>0</v>
      </c>
      <c r="E176" s="1">
        <v>1</v>
      </c>
      <c r="F176" s="1">
        <v>6.1</v>
      </c>
      <c r="G176" s="1">
        <v>496.9</v>
      </c>
      <c r="H176" s="3">
        <v>184000</v>
      </c>
    </row>
    <row r="177" spans="1:8" x14ac:dyDescent="0.25">
      <c r="A177" s="1" t="s">
        <v>375</v>
      </c>
      <c r="B177" s="1">
        <v>100</v>
      </c>
      <c r="C177" s="1">
        <v>57577</v>
      </c>
      <c r="D177" s="1">
        <v>3600</v>
      </c>
      <c r="E177" s="1">
        <v>0</v>
      </c>
      <c r="F177" s="1">
        <v>5.0999999999999996</v>
      </c>
      <c r="G177" s="1">
        <v>515.29999999999995</v>
      </c>
      <c r="H177" s="3">
        <v>212000</v>
      </c>
    </row>
    <row r="178" spans="1:8" x14ac:dyDescent="0.25">
      <c r="A178" s="1" t="s">
        <v>375</v>
      </c>
      <c r="B178" s="1">
        <v>200</v>
      </c>
      <c r="C178" s="1">
        <v>57577</v>
      </c>
      <c r="D178" s="1">
        <v>7200</v>
      </c>
      <c r="E178" s="1">
        <v>0</v>
      </c>
      <c r="F178" s="1">
        <v>5.0999999999999996</v>
      </c>
      <c r="G178" s="1">
        <v>526.1</v>
      </c>
      <c r="H178" s="3">
        <v>228000</v>
      </c>
    </row>
    <row r="179" spans="1:8" x14ac:dyDescent="0.25">
      <c r="A179" s="1" t="s">
        <v>375</v>
      </c>
      <c r="B179" s="1">
        <v>300</v>
      </c>
      <c r="C179" s="1">
        <v>57577</v>
      </c>
      <c r="D179" s="1">
        <v>10800</v>
      </c>
      <c r="E179" s="1">
        <v>0</v>
      </c>
      <c r="F179" s="1">
        <v>4.3</v>
      </c>
      <c r="G179" s="1">
        <v>539.70000000000005</v>
      </c>
      <c r="H179" s="3">
        <v>185000</v>
      </c>
    </row>
    <row r="180" spans="1:8" x14ac:dyDescent="0.25">
      <c r="A180" s="1" t="s">
        <v>375</v>
      </c>
      <c r="B180" s="1">
        <v>400</v>
      </c>
      <c r="C180" s="1">
        <v>57577</v>
      </c>
      <c r="D180" s="1">
        <v>14400</v>
      </c>
      <c r="E180" s="1">
        <v>0</v>
      </c>
      <c r="F180" s="1">
        <v>4.4000000000000004</v>
      </c>
      <c r="G180" s="1">
        <v>552.1</v>
      </c>
      <c r="H180" s="3">
        <v>180000</v>
      </c>
    </row>
    <row r="181" spans="1:8" hidden="1" x14ac:dyDescent="0.25">
      <c r="A181" s="1" t="s">
        <v>375</v>
      </c>
      <c r="B181" s="1">
        <v>500</v>
      </c>
      <c r="C181" s="1">
        <v>57577</v>
      </c>
      <c r="D181" s="1">
        <v>18000</v>
      </c>
      <c r="E181" s="1">
        <v>3</v>
      </c>
      <c r="F181" s="1">
        <v>-9999.9</v>
      </c>
      <c r="G181" s="1">
        <v>-9999.9</v>
      </c>
      <c r="H181" s="3">
        <v>-100000</v>
      </c>
    </row>
    <row r="182" spans="1:8" x14ac:dyDescent="0.25">
      <c r="A182" s="1" t="s">
        <v>375</v>
      </c>
      <c r="B182" s="1">
        <v>600</v>
      </c>
      <c r="C182" s="1">
        <v>57577</v>
      </c>
      <c r="D182" s="1">
        <v>21600</v>
      </c>
      <c r="E182" s="1">
        <v>1</v>
      </c>
      <c r="F182" s="1">
        <v>3.7</v>
      </c>
      <c r="G182" s="1">
        <v>578.20000000000005</v>
      </c>
      <c r="H182" s="3">
        <v>222000</v>
      </c>
    </row>
    <row r="183" spans="1:8" x14ac:dyDescent="0.25">
      <c r="A183" s="1" t="s">
        <v>375</v>
      </c>
      <c r="B183" s="1">
        <v>700</v>
      </c>
      <c r="C183" s="1">
        <v>57577</v>
      </c>
      <c r="D183" s="1">
        <v>25200</v>
      </c>
      <c r="E183" s="1">
        <v>0</v>
      </c>
      <c r="F183" s="1">
        <v>4.2</v>
      </c>
      <c r="G183" s="1">
        <v>586.6</v>
      </c>
      <c r="H183" s="3">
        <v>249000</v>
      </c>
    </row>
    <row r="184" spans="1:8" x14ac:dyDescent="0.25">
      <c r="A184" s="1" t="s">
        <v>375</v>
      </c>
      <c r="B184" s="1">
        <v>800</v>
      </c>
      <c r="C184" s="1">
        <v>57577</v>
      </c>
      <c r="D184" s="1">
        <v>28800</v>
      </c>
      <c r="E184" s="1">
        <v>0</v>
      </c>
      <c r="F184" s="1">
        <v>3.9</v>
      </c>
      <c r="G184" s="1">
        <v>597.79999999999995</v>
      </c>
      <c r="H184" s="3">
        <v>232000</v>
      </c>
    </row>
    <row r="185" spans="1:8" x14ac:dyDescent="0.25">
      <c r="A185" s="1" t="s">
        <v>375</v>
      </c>
      <c r="B185" s="1">
        <v>900</v>
      </c>
      <c r="C185" s="1">
        <v>57577</v>
      </c>
      <c r="D185" s="1">
        <v>32400</v>
      </c>
      <c r="E185" s="1">
        <v>0</v>
      </c>
      <c r="F185" s="1">
        <v>4</v>
      </c>
      <c r="G185" s="1">
        <v>591.79999999999995</v>
      </c>
      <c r="H185" s="3">
        <v>246000</v>
      </c>
    </row>
    <row r="186" spans="1:8" x14ac:dyDescent="0.25">
      <c r="A186" s="1" t="s">
        <v>375</v>
      </c>
      <c r="B186" s="1">
        <v>1000</v>
      </c>
      <c r="C186" s="1">
        <v>57577</v>
      </c>
      <c r="D186" s="1">
        <v>36000</v>
      </c>
      <c r="E186" s="1">
        <v>1</v>
      </c>
      <c r="F186" s="1">
        <v>4.2</v>
      </c>
      <c r="G186" s="1">
        <v>599.9</v>
      </c>
      <c r="H186" s="3">
        <v>219000</v>
      </c>
    </row>
    <row r="187" spans="1:8" x14ac:dyDescent="0.25">
      <c r="A187" s="1" t="s">
        <v>375</v>
      </c>
      <c r="B187" s="1">
        <v>1100</v>
      </c>
      <c r="C187" s="1">
        <v>57577</v>
      </c>
      <c r="D187" s="1">
        <v>39600</v>
      </c>
      <c r="E187" s="1">
        <v>1</v>
      </c>
      <c r="F187" s="1">
        <v>3.1</v>
      </c>
      <c r="G187" s="1">
        <v>531</v>
      </c>
      <c r="H187" s="3">
        <v>176000</v>
      </c>
    </row>
    <row r="188" spans="1:8" x14ac:dyDescent="0.25">
      <c r="A188" s="1" t="s">
        <v>375</v>
      </c>
      <c r="B188" s="1">
        <v>1200</v>
      </c>
      <c r="C188" s="1">
        <v>57577</v>
      </c>
      <c r="D188" s="1">
        <v>43200</v>
      </c>
      <c r="E188" s="1">
        <v>0</v>
      </c>
      <c r="F188" s="1">
        <v>3.7</v>
      </c>
      <c r="G188" s="1">
        <v>507.5</v>
      </c>
      <c r="H188" s="3">
        <v>168000</v>
      </c>
    </row>
    <row r="189" spans="1:8" x14ac:dyDescent="0.25">
      <c r="A189" s="1" t="s">
        <v>375</v>
      </c>
      <c r="B189" s="1">
        <v>1300</v>
      </c>
      <c r="C189" s="1">
        <v>57577</v>
      </c>
      <c r="D189" s="1">
        <v>46800</v>
      </c>
      <c r="E189" s="1">
        <v>1</v>
      </c>
      <c r="F189" s="1">
        <v>3.5</v>
      </c>
      <c r="G189" s="1">
        <v>526.1</v>
      </c>
      <c r="H189" s="3">
        <v>138000</v>
      </c>
    </row>
    <row r="190" spans="1:8" x14ac:dyDescent="0.25">
      <c r="A190" s="1" t="s">
        <v>375</v>
      </c>
      <c r="B190" s="1">
        <v>1400</v>
      </c>
      <c r="C190" s="1">
        <v>57577</v>
      </c>
      <c r="D190" s="1">
        <v>50400</v>
      </c>
      <c r="E190" s="1">
        <v>0</v>
      </c>
      <c r="F190" s="1">
        <v>3.7</v>
      </c>
      <c r="G190" s="1">
        <v>511</v>
      </c>
      <c r="H190" s="3">
        <v>152000</v>
      </c>
    </row>
    <row r="191" spans="1:8" x14ac:dyDescent="0.25">
      <c r="A191" s="1" t="s">
        <v>375</v>
      </c>
      <c r="B191" s="1">
        <v>1500</v>
      </c>
      <c r="C191" s="1">
        <v>57577</v>
      </c>
      <c r="D191" s="1">
        <v>54000</v>
      </c>
      <c r="E191" s="1">
        <v>0</v>
      </c>
      <c r="F191" s="1">
        <v>3.3</v>
      </c>
      <c r="G191" s="1">
        <v>548.20000000000005</v>
      </c>
      <c r="H191" s="3">
        <v>223000</v>
      </c>
    </row>
    <row r="192" spans="1:8" hidden="1" x14ac:dyDescent="0.25">
      <c r="A192" s="1" t="s">
        <v>375</v>
      </c>
      <c r="B192" s="1">
        <v>1600</v>
      </c>
      <c r="C192" s="1">
        <v>57577</v>
      </c>
      <c r="D192" s="1">
        <v>57600</v>
      </c>
      <c r="E192" s="1">
        <v>3</v>
      </c>
      <c r="F192" s="1">
        <v>-9999.9</v>
      </c>
      <c r="G192" s="1">
        <v>-9999.9</v>
      </c>
      <c r="H192" s="3">
        <v>-100000</v>
      </c>
    </row>
    <row r="193" spans="1:8" x14ac:dyDescent="0.25">
      <c r="A193" s="1" t="s">
        <v>375</v>
      </c>
      <c r="B193" s="1">
        <v>1700</v>
      </c>
      <c r="C193" s="1">
        <v>57577</v>
      </c>
      <c r="D193" s="1">
        <v>61200</v>
      </c>
      <c r="E193" s="1">
        <v>1</v>
      </c>
      <c r="F193" s="1">
        <v>3.5</v>
      </c>
      <c r="G193" s="1">
        <v>586</v>
      </c>
      <c r="H193" s="3">
        <v>293000</v>
      </c>
    </row>
    <row r="194" spans="1:8" x14ac:dyDescent="0.25">
      <c r="A194" s="1" t="s">
        <v>375</v>
      </c>
      <c r="B194" s="1">
        <v>1800</v>
      </c>
      <c r="C194" s="1">
        <v>57577</v>
      </c>
      <c r="D194" s="1">
        <v>64800</v>
      </c>
      <c r="E194" s="1">
        <v>0</v>
      </c>
      <c r="F194" s="1">
        <v>3.8</v>
      </c>
      <c r="G194" s="1">
        <v>580</v>
      </c>
      <c r="H194" s="3">
        <v>263000</v>
      </c>
    </row>
    <row r="195" spans="1:8" x14ac:dyDescent="0.25">
      <c r="A195" s="1" t="s">
        <v>375</v>
      </c>
      <c r="B195" s="1">
        <v>1900</v>
      </c>
      <c r="C195" s="1">
        <v>57577</v>
      </c>
      <c r="D195" s="1">
        <v>68400</v>
      </c>
      <c r="E195" s="1">
        <v>0</v>
      </c>
      <c r="F195" s="1">
        <v>3.1</v>
      </c>
      <c r="G195" s="1">
        <v>596.20000000000005</v>
      </c>
      <c r="H195" s="3">
        <v>271000</v>
      </c>
    </row>
    <row r="196" spans="1:8" x14ac:dyDescent="0.25">
      <c r="A196" s="1" t="s">
        <v>375</v>
      </c>
      <c r="B196" s="1">
        <v>2000</v>
      </c>
      <c r="C196" s="1">
        <v>57577</v>
      </c>
      <c r="D196" s="1">
        <v>72000</v>
      </c>
      <c r="E196" s="1">
        <v>0</v>
      </c>
      <c r="F196" s="1">
        <v>2.7</v>
      </c>
      <c r="G196" s="1">
        <v>595.79999999999995</v>
      </c>
      <c r="H196" s="3">
        <v>235000</v>
      </c>
    </row>
    <row r="197" spans="1:8" x14ac:dyDescent="0.25">
      <c r="A197" s="1" t="s">
        <v>375</v>
      </c>
      <c r="B197" s="1">
        <v>2100</v>
      </c>
      <c r="C197" s="1">
        <v>57577</v>
      </c>
      <c r="D197" s="1">
        <v>75600</v>
      </c>
      <c r="E197" s="1">
        <v>0</v>
      </c>
      <c r="F197" s="1">
        <v>3</v>
      </c>
      <c r="G197" s="1">
        <v>588.70000000000005</v>
      </c>
      <c r="H197" s="3">
        <v>261000</v>
      </c>
    </row>
    <row r="198" spans="1:8" x14ac:dyDescent="0.25">
      <c r="A198" s="1" t="s">
        <v>375</v>
      </c>
      <c r="B198" s="1">
        <v>2200</v>
      </c>
      <c r="C198" s="1">
        <v>57577</v>
      </c>
      <c r="D198" s="1">
        <v>79200</v>
      </c>
      <c r="E198" s="1">
        <v>0</v>
      </c>
      <c r="F198" s="1">
        <v>4.0999999999999996</v>
      </c>
      <c r="G198" s="1">
        <v>608.5</v>
      </c>
      <c r="H198" s="3">
        <v>215000</v>
      </c>
    </row>
    <row r="199" spans="1:8" x14ac:dyDescent="0.25">
      <c r="A199" s="1" t="s">
        <v>375</v>
      </c>
      <c r="B199" s="1">
        <v>2300</v>
      </c>
      <c r="C199" s="1">
        <v>57577</v>
      </c>
      <c r="D199" s="1">
        <v>82800</v>
      </c>
      <c r="E199" s="1">
        <v>0</v>
      </c>
      <c r="F199" s="1">
        <v>3.6</v>
      </c>
      <c r="G199" s="1">
        <v>618</v>
      </c>
      <c r="H199" s="3">
        <v>249000</v>
      </c>
    </row>
    <row r="200" spans="1:8" x14ac:dyDescent="0.25">
      <c r="A200" s="1" t="s">
        <v>376</v>
      </c>
      <c r="B200" s="1">
        <v>0</v>
      </c>
      <c r="C200" s="1">
        <v>57578</v>
      </c>
      <c r="D200" s="1">
        <v>0</v>
      </c>
      <c r="E200" s="1">
        <v>0</v>
      </c>
      <c r="F200" s="1">
        <v>3.8</v>
      </c>
      <c r="G200" s="1">
        <v>609.4</v>
      </c>
      <c r="H200" s="3">
        <v>244000</v>
      </c>
    </row>
    <row r="201" spans="1:8" x14ac:dyDescent="0.25">
      <c r="A201" s="1" t="s">
        <v>376</v>
      </c>
      <c r="B201" s="1">
        <v>100</v>
      </c>
      <c r="C201" s="1">
        <v>57578</v>
      </c>
      <c r="D201" s="1">
        <v>3600</v>
      </c>
      <c r="E201" s="1">
        <v>0</v>
      </c>
      <c r="F201" s="1">
        <v>3.3</v>
      </c>
      <c r="G201" s="1">
        <v>612.1</v>
      </c>
      <c r="H201" s="3">
        <v>295000</v>
      </c>
    </row>
    <row r="202" spans="1:8" x14ac:dyDescent="0.25">
      <c r="A202" s="1" t="s">
        <v>376</v>
      </c>
      <c r="B202" s="1">
        <v>200</v>
      </c>
      <c r="C202" s="1">
        <v>57578</v>
      </c>
      <c r="D202" s="1">
        <v>7200</v>
      </c>
      <c r="E202" s="1">
        <v>0</v>
      </c>
      <c r="F202" s="1">
        <v>3.5</v>
      </c>
      <c r="G202" s="1">
        <v>629.6</v>
      </c>
      <c r="H202" s="3">
        <v>224000</v>
      </c>
    </row>
    <row r="203" spans="1:8" x14ac:dyDescent="0.25">
      <c r="A203" s="1" t="s">
        <v>376</v>
      </c>
      <c r="B203" s="1">
        <v>300</v>
      </c>
      <c r="C203" s="1">
        <v>57578</v>
      </c>
      <c r="D203" s="1">
        <v>10800</v>
      </c>
      <c r="E203" s="1">
        <v>1</v>
      </c>
      <c r="F203" s="1">
        <v>3.6</v>
      </c>
      <c r="G203" s="1">
        <v>612.4</v>
      </c>
      <c r="H203" s="3">
        <v>280000</v>
      </c>
    </row>
    <row r="204" spans="1:8" x14ac:dyDescent="0.25">
      <c r="A204" s="1" t="s">
        <v>376</v>
      </c>
      <c r="B204" s="1">
        <v>400</v>
      </c>
      <c r="C204" s="1">
        <v>57578</v>
      </c>
      <c r="D204" s="1">
        <v>14400</v>
      </c>
      <c r="E204" s="1">
        <v>0</v>
      </c>
      <c r="F204" s="1">
        <v>4</v>
      </c>
      <c r="G204" s="1">
        <v>601.70000000000005</v>
      </c>
      <c r="H204" s="3">
        <v>235000</v>
      </c>
    </row>
    <row r="205" spans="1:8" x14ac:dyDescent="0.25">
      <c r="A205" s="1" t="s">
        <v>376</v>
      </c>
      <c r="B205" s="1">
        <v>500</v>
      </c>
      <c r="C205" s="1">
        <v>57578</v>
      </c>
      <c r="D205" s="1">
        <v>18000</v>
      </c>
      <c r="E205" s="1">
        <v>0</v>
      </c>
      <c r="F205" s="1">
        <v>3.8</v>
      </c>
      <c r="G205" s="1">
        <v>614.20000000000005</v>
      </c>
      <c r="H205" s="3">
        <v>250000</v>
      </c>
    </row>
    <row r="206" spans="1:8" x14ac:dyDescent="0.25">
      <c r="A206" s="1" t="s">
        <v>376</v>
      </c>
      <c r="B206" s="1">
        <v>600</v>
      </c>
      <c r="C206" s="1">
        <v>57578</v>
      </c>
      <c r="D206" s="1">
        <v>21600</v>
      </c>
      <c r="E206" s="1">
        <v>0</v>
      </c>
      <c r="F206" s="1">
        <v>3.8</v>
      </c>
      <c r="G206" s="1">
        <v>609.70000000000005</v>
      </c>
      <c r="H206" s="3">
        <v>185000</v>
      </c>
    </row>
    <row r="207" spans="1:8" x14ac:dyDescent="0.25">
      <c r="A207" s="1" t="s">
        <v>376</v>
      </c>
      <c r="B207" s="1">
        <v>700</v>
      </c>
      <c r="C207" s="1">
        <v>57578</v>
      </c>
      <c r="D207" s="1">
        <v>25200</v>
      </c>
      <c r="E207" s="1">
        <v>0</v>
      </c>
      <c r="F207" s="1">
        <v>3.8</v>
      </c>
      <c r="G207" s="1">
        <v>593.20000000000005</v>
      </c>
      <c r="H207" s="3">
        <v>182000</v>
      </c>
    </row>
    <row r="208" spans="1:8" x14ac:dyDescent="0.25">
      <c r="A208" s="1" t="s">
        <v>376</v>
      </c>
      <c r="B208" s="1">
        <v>800</v>
      </c>
      <c r="C208" s="1">
        <v>57578</v>
      </c>
      <c r="D208" s="1">
        <v>28800</v>
      </c>
      <c r="E208" s="1">
        <v>0</v>
      </c>
      <c r="F208" s="1">
        <v>3.3</v>
      </c>
      <c r="G208" s="1">
        <v>603.5</v>
      </c>
      <c r="H208" s="3">
        <v>207000</v>
      </c>
    </row>
    <row r="209" spans="1:8" x14ac:dyDescent="0.25">
      <c r="A209" s="1" t="s">
        <v>376</v>
      </c>
      <c r="B209" s="1">
        <v>900</v>
      </c>
      <c r="C209" s="1">
        <v>57578</v>
      </c>
      <c r="D209" s="1">
        <v>32400</v>
      </c>
      <c r="E209" s="1">
        <v>0</v>
      </c>
      <c r="F209" s="1">
        <v>3.3</v>
      </c>
      <c r="G209" s="1">
        <v>578.79999999999995</v>
      </c>
      <c r="H209" s="3">
        <v>197000</v>
      </c>
    </row>
    <row r="210" spans="1:8" x14ac:dyDescent="0.25">
      <c r="A210" s="1" t="s">
        <v>376</v>
      </c>
      <c r="B210" s="1">
        <v>1000</v>
      </c>
      <c r="C210" s="1">
        <v>57578</v>
      </c>
      <c r="D210" s="1">
        <v>36000</v>
      </c>
      <c r="E210" s="1">
        <v>1</v>
      </c>
      <c r="F210" s="1">
        <v>2.6</v>
      </c>
      <c r="G210" s="1">
        <v>599.70000000000005</v>
      </c>
      <c r="H210" s="3">
        <v>281000</v>
      </c>
    </row>
    <row r="211" spans="1:8" x14ac:dyDescent="0.25">
      <c r="A211" s="1" t="s">
        <v>376</v>
      </c>
      <c r="B211" s="1">
        <v>1100</v>
      </c>
      <c r="C211" s="1">
        <v>57578</v>
      </c>
      <c r="D211" s="1">
        <v>39600</v>
      </c>
      <c r="E211" s="1">
        <v>0</v>
      </c>
      <c r="F211" s="1">
        <v>2.6</v>
      </c>
      <c r="G211" s="1">
        <v>622.29999999999995</v>
      </c>
      <c r="H211" s="3">
        <v>387000</v>
      </c>
    </row>
    <row r="212" spans="1:8" x14ac:dyDescent="0.25">
      <c r="A212" s="1" t="s">
        <v>376</v>
      </c>
      <c r="B212" s="1">
        <v>1200</v>
      </c>
      <c r="C212" s="1">
        <v>57578</v>
      </c>
      <c r="D212" s="1">
        <v>43200</v>
      </c>
      <c r="E212" s="1">
        <v>0</v>
      </c>
      <c r="F212" s="1">
        <v>2.8</v>
      </c>
      <c r="G212" s="1">
        <v>626.70000000000005</v>
      </c>
      <c r="H212" s="3">
        <v>340000</v>
      </c>
    </row>
    <row r="213" spans="1:8" x14ac:dyDescent="0.25">
      <c r="A213" s="1" t="s">
        <v>376</v>
      </c>
      <c r="B213" s="1">
        <v>1300</v>
      </c>
      <c r="C213" s="1">
        <v>57578</v>
      </c>
      <c r="D213" s="1">
        <v>46800</v>
      </c>
      <c r="E213" s="1">
        <v>0</v>
      </c>
      <c r="F213" s="1">
        <v>2.7</v>
      </c>
      <c r="G213" s="1">
        <v>615</v>
      </c>
      <c r="H213" s="3">
        <v>336000</v>
      </c>
    </row>
    <row r="214" spans="1:8" x14ac:dyDescent="0.25">
      <c r="A214" s="1" t="s">
        <v>376</v>
      </c>
      <c r="B214" s="1">
        <v>1400</v>
      </c>
      <c r="C214" s="1">
        <v>57578</v>
      </c>
      <c r="D214" s="1">
        <v>50400</v>
      </c>
      <c r="E214" s="1">
        <v>0</v>
      </c>
      <c r="F214" s="1">
        <v>2.4</v>
      </c>
      <c r="G214" s="1">
        <v>632.9</v>
      </c>
      <c r="H214" s="3">
        <v>331000</v>
      </c>
    </row>
    <row r="215" spans="1:8" x14ac:dyDescent="0.25">
      <c r="A215" s="1" t="s">
        <v>376</v>
      </c>
      <c r="B215" s="1">
        <v>1500</v>
      </c>
      <c r="C215" s="1">
        <v>57578</v>
      </c>
      <c r="D215" s="1">
        <v>54000</v>
      </c>
      <c r="E215" s="1">
        <v>0</v>
      </c>
      <c r="F215" s="1">
        <v>2</v>
      </c>
      <c r="G215" s="1">
        <v>625</v>
      </c>
      <c r="H215" s="3">
        <v>252000</v>
      </c>
    </row>
    <row r="216" spans="1:8" x14ac:dyDescent="0.25">
      <c r="A216" s="1" t="s">
        <v>376</v>
      </c>
      <c r="B216" s="1">
        <v>1600</v>
      </c>
      <c r="C216" s="1">
        <v>57578</v>
      </c>
      <c r="D216" s="1">
        <v>57600</v>
      </c>
      <c r="E216" s="1">
        <v>0</v>
      </c>
      <c r="F216" s="1">
        <v>2.2000000000000002</v>
      </c>
      <c r="G216" s="1">
        <v>636.79999999999995</v>
      </c>
      <c r="H216" s="3">
        <v>213000</v>
      </c>
    </row>
    <row r="217" spans="1:8" x14ac:dyDescent="0.25">
      <c r="A217" s="1" t="s">
        <v>376</v>
      </c>
      <c r="B217" s="1">
        <v>1700</v>
      </c>
      <c r="C217" s="1">
        <v>57578</v>
      </c>
      <c r="D217" s="1">
        <v>61200</v>
      </c>
      <c r="E217" s="1">
        <v>0</v>
      </c>
      <c r="F217" s="1">
        <v>2.6</v>
      </c>
      <c r="G217" s="1">
        <v>621.9</v>
      </c>
      <c r="H217" s="3">
        <v>210000</v>
      </c>
    </row>
    <row r="218" spans="1:8" x14ac:dyDescent="0.25">
      <c r="A218" s="1" t="s">
        <v>376</v>
      </c>
      <c r="B218" s="1">
        <v>1800</v>
      </c>
      <c r="C218" s="1">
        <v>57578</v>
      </c>
      <c r="D218" s="1">
        <v>64800</v>
      </c>
      <c r="E218" s="1">
        <v>0</v>
      </c>
      <c r="F218" s="1">
        <v>2.5</v>
      </c>
      <c r="G218" s="1">
        <v>625.9</v>
      </c>
      <c r="H218" s="3">
        <v>214000</v>
      </c>
    </row>
    <row r="219" spans="1:8" x14ac:dyDescent="0.25">
      <c r="A219" s="1" t="s">
        <v>376</v>
      </c>
      <c r="B219" s="1">
        <v>1900</v>
      </c>
      <c r="C219" s="1">
        <v>57578</v>
      </c>
      <c r="D219" s="1">
        <v>68400</v>
      </c>
      <c r="E219" s="1">
        <v>0</v>
      </c>
      <c r="F219" s="1">
        <v>2.1</v>
      </c>
      <c r="G219" s="1">
        <v>620</v>
      </c>
      <c r="H219" s="3">
        <v>176000</v>
      </c>
    </row>
    <row r="220" spans="1:8" x14ac:dyDescent="0.25">
      <c r="A220" s="1" t="s">
        <v>376</v>
      </c>
      <c r="B220" s="1">
        <v>2000</v>
      </c>
      <c r="C220" s="1">
        <v>57578</v>
      </c>
      <c r="D220" s="1">
        <v>72000</v>
      </c>
      <c r="E220" s="1">
        <v>0</v>
      </c>
      <c r="F220" s="1">
        <v>2.7</v>
      </c>
      <c r="G220" s="1">
        <v>604.4</v>
      </c>
      <c r="H220" s="3">
        <v>142000</v>
      </c>
    </row>
    <row r="221" spans="1:8" x14ac:dyDescent="0.25">
      <c r="A221" s="1" t="s">
        <v>376</v>
      </c>
      <c r="B221" s="1">
        <v>2100</v>
      </c>
      <c r="C221" s="1">
        <v>57578</v>
      </c>
      <c r="D221" s="1">
        <v>75600</v>
      </c>
      <c r="E221" s="1">
        <v>0</v>
      </c>
      <c r="F221" s="1">
        <v>2.4</v>
      </c>
      <c r="G221" s="1">
        <v>620.5</v>
      </c>
      <c r="H221" s="3">
        <v>142000</v>
      </c>
    </row>
    <row r="222" spans="1:8" x14ac:dyDescent="0.25">
      <c r="A222" s="1" t="s">
        <v>376</v>
      </c>
      <c r="B222" s="1">
        <v>2200</v>
      </c>
      <c r="C222" s="1">
        <v>57578</v>
      </c>
      <c r="D222" s="1">
        <v>79200</v>
      </c>
      <c r="E222" s="1">
        <v>0</v>
      </c>
      <c r="F222" s="1">
        <v>2.2999999999999998</v>
      </c>
      <c r="G222" s="1">
        <v>607.1</v>
      </c>
      <c r="H222" s="3">
        <v>156000</v>
      </c>
    </row>
    <row r="223" spans="1:8" x14ac:dyDescent="0.25">
      <c r="A223" s="1" t="s">
        <v>376</v>
      </c>
      <c r="B223" s="1">
        <v>2300</v>
      </c>
      <c r="C223" s="1">
        <v>57578</v>
      </c>
      <c r="D223" s="1">
        <v>82800</v>
      </c>
      <c r="E223" s="1">
        <v>0</v>
      </c>
      <c r="F223" s="1">
        <v>2.2999999999999998</v>
      </c>
      <c r="G223" s="1">
        <v>610.1</v>
      </c>
      <c r="H223" s="3">
        <v>173000</v>
      </c>
    </row>
    <row r="224" spans="1:8" x14ac:dyDescent="0.25">
      <c r="A224" s="1" t="s">
        <v>377</v>
      </c>
      <c r="B224" s="1">
        <v>0</v>
      </c>
      <c r="C224" s="1">
        <v>57579</v>
      </c>
      <c r="D224" s="1">
        <v>0</v>
      </c>
      <c r="E224" s="1">
        <v>0</v>
      </c>
      <c r="F224" s="1">
        <v>2.2999999999999998</v>
      </c>
      <c r="G224" s="1">
        <v>614.9</v>
      </c>
      <c r="H224" s="3">
        <v>218000</v>
      </c>
    </row>
    <row r="225" spans="1:8" x14ac:dyDescent="0.25">
      <c r="A225" s="1" t="s">
        <v>377</v>
      </c>
      <c r="B225" s="1">
        <v>100</v>
      </c>
      <c r="C225" s="1">
        <v>57579</v>
      </c>
      <c r="D225" s="1">
        <v>3600</v>
      </c>
      <c r="E225" s="1">
        <v>0</v>
      </c>
      <c r="F225" s="1">
        <v>2.2999999999999998</v>
      </c>
      <c r="G225" s="1">
        <v>603.4</v>
      </c>
      <c r="H225" s="3">
        <v>162000</v>
      </c>
    </row>
    <row r="226" spans="1:8" x14ac:dyDescent="0.25">
      <c r="A226" s="1" t="s">
        <v>377</v>
      </c>
      <c r="B226" s="1">
        <v>200</v>
      </c>
      <c r="C226" s="1">
        <v>57579</v>
      </c>
      <c r="D226" s="1">
        <v>7200</v>
      </c>
      <c r="E226" s="1">
        <v>0</v>
      </c>
      <c r="F226" s="1">
        <v>2.1</v>
      </c>
      <c r="G226" s="1">
        <v>587.29999999999995</v>
      </c>
      <c r="H226" s="3">
        <v>168000</v>
      </c>
    </row>
    <row r="227" spans="1:8" x14ac:dyDescent="0.25">
      <c r="A227" s="1" t="s">
        <v>377</v>
      </c>
      <c r="B227" s="1">
        <v>300</v>
      </c>
      <c r="C227" s="1">
        <v>57579</v>
      </c>
      <c r="D227" s="1">
        <v>10800</v>
      </c>
      <c r="E227" s="1">
        <v>0</v>
      </c>
      <c r="F227" s="1">
        <v>2.1</v>
      </c>
      <c r="G227" s="1">
        <v>593.20000000000005</v>
      </c>
      <c r="H227" s="3">
        <v>224000</v>
      </c>
    </row>
    <row r="228" spans="1:8" x14ac:dyDescent="0.25">
      <c r="A228" s="1" t="s">
        <v>377</v>
      </c>
      <c r="B228" s="1">
        <v>400</v>
      </c>
      <c r="C228" s="1">
        <v>57579</v>
      </c>
      <c r="D228" s="1">
        <v>14400</v>
      </c>
      <c r="E228" s="1">
        <v>0</v>
      </c>
      <c r="F228" s="1">
        <v>2.1</v>
      </c>
      <c r="G228" s="1">
        <v>598</v>
      </c>
      <c r="H228" s="3">
        <v>177000</v>
      </c>
    </row>
    <row r="229" spans="1:8" x14ac:dyDescent="0.25">
      <c r="A229" s="1" t="s">
        <v>377</v>
      </c>
      <c r="B229" s="1">
        <v>500</v>
      </c>
      <c r="C229" s="1">
        <v>57579</v>
      </c>
      <c r="D229" s="1">
        <v>18000</v>
      </c>
      <c r="E229" s="1">
        <v>0</v>
      </c>
      <c r="F229" s="1">
        <v>2.4</v>
      </c>
      <c r="G229" s="1">
        <v>606.29999999999995</v>
      </c>
      <c r="H229" s="3">
        <v>224000</v>
      </c>
    </row>
    <row r="230" spans="1:8" x14ac:dyDescent="0.25">
      <c r="A230" s="1" t="s">
        <v>377</v>
      </c>
      <c r="B230" s="1">
        <v>600</v>
      </c>
      <c r="C230" s="1">
        <v>57579</v>
      </c>
      <c r="D230" s="1">
        <v>21600</v>
      </c>
      <c r="E230" s="1">
        <v>0</v>
      </c>
      <c r="F230" s="1">
        <v>2.7</v>
      </c>
      <c r="G230" s="1">
        <v>614.1</v>
      </c>
      <c r="H230" s="3">
        <v>218000</v>
      </c>
    </row>
    <row r="231" spans="1:8" x14ac:dyDescent="0.25">
      <c r="A231" s="1" t="s">
        <v>377</v>
      </c>
      <c r="B231" s="1">
        <v>700</v>
      </c>
      <c r="C231" s="1">
        <v>57579</v>
      </c>
      <c r="D231" s="1">
        <v>25200</v>
      </c>
      <c r="E231" s="1">
        <v>0</v>
      </c>
      <c r="F231" s="1">
        <v>2.2999999999999998</v>
      </c>
      <c r="G231" s="1">
        <v>616.6</v>
      </c>
      <c r="H231" s="3">
        <v>181000</v>
      </c>
    </row>
    <row r="232" spans="1:8" x14ac:dyDescent="0.25">
      <c r="A232" s="1" t="s">
        <v>377</v>
      </c>
      <c r="B232" s="1">
        <v>800</v>
      </c>
      <c r="C232" s="1">
        <v>57579</v>
      </c>
      <c r="D232" s="1">
        <v>28800</v>
      </c>
      <c r="E232" s="1">
        <v>1</v>
      </c>
      <c r="F232" s="1">
        <v>2.2999999999999998</v>
      </c>
      <c r="G232" s="1">
        <v>586.5</v>
      </c>
      <c r="H232" s="3">
        <v>211000</v>
      </c>
    </row>
    <row r="233" spans="1:8" x14ac:dyDescent="0.25">
      <c r="A233" s="1" t="s">
        <v>377</v>
      </c>
      <c r="B233" s="1">
        <v>900</v>
      </c>
      <c r="C233" s="1">
        <v>57579</v>
      </c>
      <c r="D233" s="1">
        <v>32400</v>
      </c>
      <c r="E233" s="1">
        <v>0</v>
      </c>
      <c r="F233" s="1">
        <v>2</v>
      </c>
      <c r="G233" s="1">
        <v>590.4</v>
      </c>
      <c r="H233" s="3">
        <v>196000</v>
      </c>
    </row>
    <row r="234" spans="1:8" x14ac:dyDescent="0.25">
      <c r="A234" s="1" t="s">
        <v>377</v>
      </c>
      <c r="B234" s="1">
        <v>1000</v>
      </c>
      <c r="C234" s="1">
        <v>57579</v>
      </c>
      <c r="D234" s="1">
        <v>36000</v>
      </c>
      <c r="E234" s="1">
        <v>0</v>
      </c>
      <c r="F234" s="1">
        <v>2.2999999999999998</v>
      </c>
      <c r="G234" s="1">
        <v>574.5</v>
      </c>
      <c r="H234" s="3">
        <v>157000</v>
      </c>
    </row>
    <row r="235" spans="1:8" x14ac:dyDescent="0.25">
      <c r="A235" s="1" t="s">
        <v>377</v>
      </c>
      <c r="B235" s="1">
        <v>1100</v>
      </c>
      <c r="C235" s="1">
        <v>57579</v>
      </c>
      <c r="D235" s="1">
        <v>39600</v>
      </c>
      <c r="E235" s="1">
        <v>0</v>
      </c>
      <c r="F235" s="1">
        <v>2.1</v>
      </c>
      <c r="G235" s="1">
        <v>572.29999999999995</v>
      </c>
      <c r="H235" s="3">
        <v>161000</v>
      </c>
    </row>
    <row r="236" spans="1:8" x14ac:dyDescent="0.25">
      <c r="A236" s="1" t="s">
        <v>377</v>
      </c>
      <c r="B236" s="1">
        <v>1200</v>
      </c>
      <c r="C236" s="1">
        <v>57579</v>
      </c>
      <c r="D236" s="1">
        <v>43200</v>
      </c>
      <c r="E236" s="1">
        <v>0</v>
      </c>
      <c r="F236" s="1">
        <v>1.9</v>
      </c>
      <c r="G236" s="1">
        <v>568.29999999999995</v>
      </c>
      <c r="H236" s="3">
        <v>146000</v>
      </c>
    </row>
    <row r="237" spans="1:8" x14ac:dyDescent="0.25">
      <c r="A237" s="1" t="s">
        <v>377</v>
      </c>
      <c r="B237" s="1">
        <v>1300</v>
      </c>
      <c r="C237" s="1">
        <v>57579</v>
      </c>
      <c r="D237" s="1">
        <v>46800</v>
      </c>
      <c r="E237" s="1">
        <v>1</v>
      </c>
      <c r="F237" s="1">
        <v>2.1</v>
      </c>
      <c r="G237" s="1">
        <v>569.5</v>
      </c>
      <c r="H237" s="3">
        <v>128000</v>
      </c>
    </row>
    <row r="238" spans="1:8" x14ac:dyDescent="0.25">
      <c r="A238" s="1" t="s">
        <v>377</v>
      </c>
      <c r="B238" s="1">
        <v>1400</v>
      </c>
      <c r="C238" s="1">
        <v>57579</v>
      </c>
      <c r="D238" s="1">
        <v>50400</v>
      </c>
      <c r="E238" s="1">
        <v>0</v>
      </c>
      <c r="F238" s="1">
        <v>2.1</v>
      </c>
      <c r="G238" s="1">
        <v>568.9</v>
      </c>
      <c r="H238" s="3">
        <v>132000</v>
      </c>
    </row>
    <row r="239" spans="1:8" x14ac:dyDescent="0.25">
      <c r="A239" s="1" t="s">
        <v>377</v>
      </c>
      <c r="B239" s="1">
        <v>1500</v>
      </c>
      <c r="C239" s="1">
        <v>57579</v>
      </c>
      <c r="D239" s="1">
        <v>54000</v>
      </c>
      <c r="E239" s="1">
        <v>0</v>
      </c>
      <c r="F239" s="1">
        <v>2</v>
      </c>
      <c r="G239" s="1">
        <v>570.5</v>
      </c>
      <c r="H239" s="3">
        <v>125000</v>
      </c>
    </row>
    <row r="240" spans="1:8" x14ac:dyDescent="0.25">
      <c r="A240" s="1" t="s">
        <v>377</v>
      </c>
      <c r="B240" s="1">
        <v>1600</v>
      </c>
      <c r="C240" s="1">
        <v>57579</v>
      </c>
      <c r="D240" s="1">
        <v>57600</v>
      </c>
      <c r="E240" s="1">
        <v>0</v>
      </c>
      <c r="F240" s="1">
        <v>1.9</v>
      </c>
      <c r="G240" s="1">
        <v>557.9</v>
      </c>
      <c r="H240" s="3">
        <v>168000</v>
      </c>
    </row>
    <row r="241" spans="1:8" x14ac:dyDescent="0.25">
      <c r="A241" s="1" t="s">
        <v>377</v>
      </c>
      <c r="B241" s="1">
        <v>1700</v>
      </c>
      <c r="C241" s="1">
        <v>57579</v>
      </c>
      <c r="D241" s="1">
        <v>61200</v>
      </c>
      <c r="E241" s="1">
        <v>0</v>
      </c>
      <c r="F241" s="1">
        <v>2</v>
      </c>
      <c r="G241" s="1">
        <v>565.4</v>
      </c>
      <c r="H241" s="3">
        <v>157000</v>
      </c>
    </row>
    <row r="242" spans="1:8" x14ac:dyDescent="0.25">
      <c r="A242" s="1" t="s">
        <v>377</v>
      </c>
      <c r="B242" s="1">
        <v>1800</v>
      </c>
      <c r="C242" s="1">
        <v>57579</v>
      </c>
      <c r="D242" s="1">
        <v>64800</v>
      </c>
      <c r="E242" s="1">
        <v>0</v>
      </c>
      <c r="F242" s="1">
        <v>1.9</v>
      </c>
      <c r="G242" s="1">
        <v>582.6</v>
      </c>
      <c r="H242" s="3">
        <v>165000</v>
      </c>
    </row>
    <row r="243" spans="1:8" x14ac:dyDescent="0.25">
      <c r="A243" s="1" t="s">
        <v>377</v>
      </c>
      <c r="B243" s="1">
        <v>1900</v>
      </c>
      <c r="C243" s="1">
        <v>57579</v>
      </c>
      <c r="D243" s="1">
        <v>68400</v>
      </c>
      <c r="E243" s="1">
        <v>0</v>
      </c>
      <c r="F243" s="1">
        <v>1.9</v>
      </c>
      <c r="G243" s="1">
        <v>576.79999999999995</v>
      </c>
      <c r="H243" s="3">
        <v>146000</v>
      </c>
    </row>
    <row r="244" spans="1:8" x14ac:dyDescent="0.25">
      <c r="A244" s="1" t="s">
        <v>377</v>
      </c>
      <c r="B244" s="1">
        <v>2000</v>
      </c>
      <c r="C244" s="1">
        <v>57579</v>
      </c>
      <c r="D244" s="1">
        <v>72000</v>
      </c>
      <c r="E244" s="1">
        <v>1</v>
      </c>
      <c r="F244" s="1">
        <v>2.2999999999999998</v>
      </c>
      <c r="G244" s="1">
        <v>566.29999999999995</v>
      </c>
      <c r="H244" s="3">
        <v>169000</v>
      </c>
    </row>
    <row r="245" spans="1:8" x14ac:dyDescent="0.25">
      <c r="A245" s="1" t="s">
        <v>377</v>
      </c>
      <c r="B245" s="1">
        <v>2100</v>
      </c>
      <c r="C245" s="1">
        <v>57579</v>
      </c>
      <c r="D245" s="1">
        <v>75600</v>
      </c>
      <c r="E245" s="1">
        <v>0</v>
      </c>
      <c r="F245" s="1">
        <v>2.2999999999999998</v>
      </c>
      <c r="G245" s="1">
        <v>566.4</v>
      </c>
      <c r="H245" s="3">
        <v>190000</v>
      </c>
    </row>
    <row r="246" spans="1:8" x14ac:dyDescent="0.25">
      <c r="A246" s="1" t="s">
        <v>377</v>
      </c>
      <c r="B246" s="1">
        <v>2200</v>
      </c>
      <c r="C246" s="1">
        <v>57579</v>
      </c>
      <c r="D246" s="1">
        <v>79200</v>
      </c>
      <c r="E246" s="1">
        <v>0</v>
      </c>
      <c r="F246" s="1">
        <v>1.8</v>
      </c>
      <c r="G246" s="1">
        <v>566.79999999999995</v>
      </c>
      <c r="H246" s="3">
        <v>188000</v>
      </c>
    </row>
    <row r="247" spans="1:8" x14ac:dyDescent="0.25">
      <c r="A247" s="1" t="s">
        <v>377</v>
      </c>
      <c r="B247" s="1">
        <v>2300</v>
      </c>
      <c r="C247" s="1">
        <v>57579</v>
      </c>
      <c r="D247" s="1">
        <v>82800</v>
      </c>
      <c r="E247" s="1">
        <v>0</v>
      </c>
      <c r="F247" s="1">
        <v>1.8</v>
      </c>
      <c r="G247" s="1">
        <v>569.70000000000005</v>
      </c>
      <c r="H247" s="3">
        <v>164000</v>
      </c>
    </row>
    <row r="248" spans="1:8" x14ac:dyDescent="0.25">
      <c r="A248" s="1" t="s">
        <v>378</v>
      </c>
      <c r="B248" s="1">
        <v>0</v>
      </c>
      <c r="C248" s="1">
        <v>57580</v>
      </c>
      <c r="D248" s="1">
        <v>0</v>
      </c>
      <c r="E248" s="1">
        <v>0</v>
      </c>
      <c r="F248" s="1">
        <v>1.8</v>
      </c>
      <c r="G248" s="1">
        <v>540.9</v>
      </c>
      <c r="H248" s="3">
        <v>160000</v>
      </c>
    </row>
    <row r="249" spans="1:8" x14ac:dyDescent="0.25">
      <c r="A249" s="1" t="s">
        <v>378</v>
      </c>
      <c r="B249" s="1">
        <v>100</v>
      </c>
      <c r="C249" s="1">
        <v>57580</v>
      </c>
      <c r="D249" s="1">
        <v>3600</v>
      </c>
      <c r="E249" s="1">
        <v>1</v>
      </c>
      <c r="F249" s="1">
        <v>2.2000000000000002</v>
      </c>
      <c r="G249" s="1">
        <v>546.20000000000005</v>
      </c>
      <c r="H249" s="3">
        <v>176000</v>
      </c>
    </row>
    <row r="250" spans="1:8" x14ac:dyDescent="0.25">
      <c r="A250" s="1" t="s">
        <v>378</v>
      </c>
      <c r="B250" s="1">
        <v>200</v>
      </c>
      <c r="C250" s="1">
        <v>57580</v>
      </c>
      <c r="D250" s="1">
        <v>7200</v>
      </c>
      <c r="E250" s="1">
        <v>0</v>
      </c>
      <c r="F250" s="1">
        <v>1.9</v>
      </c>
      <c r="G250" s="1">
        <v>550.70000000000005</v>
      </c>
      <c r="H250" s="3">
        <v>179000</v>
      </c>
    </row>
    <row r="251" spans="1:8" x14ac:dyDescent="0.25">
      <c r="A251" s="1" t="s">
        <v>378</v>
      </c>
      <c r="B251" s="1">
        <v>300</v>
      </c>
      <c r="C251" s="1">
        <v>57580</v>
      </c>
      <c r="D251" s="1">
        <v>10800</v>
      </c>
      <c r="E251" s="1">
        <v>0</v>
      </c>
      <c r="F251" s="1">
        <v>2</v>
      </c>
      <c r="G251" s="1">
        <v>554.70000000000005</v>
      </c>
      <c r="H251" s="3">
        <v>184000</v>
      </c>
    </row>
    <row r="252" spans="1:8" x14ac:dyDescent="0.25">
      <c r="A252" s="1" t="s">
        <v>378</v>
      </c>
      <c r="B252" s="1">
        <v>400</v>
      </c>
      <c r="C252" s="1">
        <v>57580</v>
      </c>
      <c r="D252" s="1">
        <v>14400</v>
      </c>
      <c r="E252" s="1">
        <v>0</v>
      </c>
      <c r="F252" s="1">
        <v>2.1</v>
      </c>
      <c r="G252" s="1">
        <v>541</v>
      </c>
      <c r="H252" s="3">
        <v>153000</v>
      </c>
    </row>
    <row r="253" spans="1:8" x14ac:dyDescent="0.25">
      <c r="A253" s="1" t="s">
        <v>378</v>
      </c>
      <c r="B253" s="1">
        <v>500</v>
      </c>
      <c r="C253" s="1">
        <v>57580</v>
      </c>
      <c r="D253" s="1">
        <v>18000</v>
      </c>
      <c r="E253" s="1">
        <v>0</v>
      </c>
      <c r="F253" s="1">
        <v>1.8</v>
      </c>
      <c r="G253" s="1">
        <v>534.6</v>
      </c>
      <c r="H253" s="3">
        <v>141000</v>
      </c>
    </row>
    <row r="254" spans="1:8" x14ac:dyDescent="0.25">
      <c r="A254" s="1" t="s">
        <v>378</v>
      </c>
      <c r="B254" s="1">
        <v>600</v>
      </c>
      <c r="C254" s="1">
        <v>57580</v>
      </c>
      <c r="D254" s="1">
        <v>21600</v>
      </c>
      <c r="E254" s="1">
        <v>1</v>
      </c>
      <c r="F254" s="1">
        <v>2.2999999999999998</v>
      </c>
      <c r="G254" s="1">
        <v>522.4</v>
      </c>
      <c r="H254" s="3">
        <v>138000</v>
      </c>
    </row>
    <row r="255" spans="1:8" x14ac:dyDescent="0.25">
      <c r="A255" s="1" t="s">
        <v>378</v>
      </c>
      <c r="B255" s="1">
        <v>700</v>
      </c>
      <c r="C255" s="1">
        <v>57580</v>
      </c>
      <c r="D255" s="1">
        <v>25200</v>
      </c>
      <c r="E255" s="1">
        <v>1</v>
      </c>
      <c r="F255" s="1">
        <v>2.1</v>
      </c>
      <c r="G255" s="1">
        <v>519.1</v>
      </c>
      <c r="H255" s="3">
        <v>141000</v>
      </c>
    </row>
    <row r="256" spans="1:8" x14ac:dyDescent="0.25">
      <c r="A256" s="1" t="s">
        <v>378</v>
      </c>
      <c r="B256" s="1">
        <v>800</v>
      </c>
      <c r="C256" s="1">
        <v>57580</v>
      </c>
      <c r="D256" s="1">
        <v>28800</v>
      </c>
      <c r="E256" s="1">
        <v>0</v>
      </c>
      <c r="F256" s="1">
        <v>2.2999999999999998</v>
      </c>
      <c r="G256" s="1">
        <v>529</v>
      </c>
      <c r="H256" s="3">
        <v>126000</v>
      </c>
    </row>
    <row r="257" spans="1:8" x14ac:dyDescent="0.25">
      <c r="A257" s="1" t="s">
        <v>378</v>
      </c>
      <c r="B257" s="1">
        <v>900</v>
      </c>
      <c r="C257" s="1">
        <v>57580</v>
      </c>
      <c r="D257" s="1">
        <v>32400</v>
      </c>
      <c r="E257" s="1">
        <v>0</v>
      </c>
      <c r="F257" s="1">
        <v>1.8</v>
      </c>
      <c r="G257" s="1">
        <v>529.9</v>
      </c>
      <c r="H257" s="3">
        <v>121000</v>
      </c>
    </row>
    <row r="258" spans="1:8" x14ac:dyDescent="0.25">
      <c r="A258" s="1" t="s">
        <v>378</v>
      </c>
      <c r="B258" s="1">
        <v>1000</v>
      </c>
      <c r="C258" s="1">
        <v>57580</v>
      </c>
      <c r="D258" s="1">
        <v>36000</v>
      </c>
      <c r="E258" s="1">
        <v>0</v>
      </c>
      <c r="F258" s="1">
        <v>1.8</v>
      </c>
      <c r="G258" s="1">
        <v>509.7</v>
      </c>
      <c r="H258" s="3">
        <v>123000</v>
      </c>
    </row>
    <row r="259" spans="1:8" x14ac:dyDescent="0.25">
      <c r="A259" s="1" t="s">
        <v>378</v>
      </c>
      <c r="B259" s="1">
        <v>1100</v>
      </c>
      <c r="C259" s="1">
        <v>57580</v>
      </c>
      <c r="D259" s="1">
        <v>39600</v>
      </c>
      <c r="E259" s="1">
        <v>0</v>
      </c>
      <c r="F259" s="1">
        <v>1.9</v>
      </c>
      <c r="G259" s="1">
        <v>493.3</v>
      </c>
      <c r="H259" s="3">
        <v>128000</v>
      </c>
    </row>
    <row r="260" spans="1:8" x14ac:dyDescent="0.25">
      <c r="A260" s="1" t="s">
        <v>378</v>
      </c>
      <c r="B260" s="1">
        <v>1200</v>
      </c>
      <c r="C260" s="1">
        <v>57580</v>
      </c>
      <c r="D260" s="1">
        <v>43200</v>
      </c>
      <c r="E260" s="1">
        <v>0</v>
      </c>
      <c r="F260" s="1">
        <v>2</v>
      </c>
      <c r="G260" s="1">
        <v>505.1</v>
      </c>
      <c r="H260" s="3">
        <v>110000</v>
      </c>
    </row>
    <row r="261" spans="1:8" x14ac:dyDescent="0.25">
      <c r="A261" s="1" t="s">
        <v>378</v>
      </c>
      <c r="B261" s="1">
        <v>1300</v>
      </c>
      <c r="C261" s="1">
        <v>57580</v>
      </c>
      <c r="D261" s="1">
        <v>46800</v>
      </c>
      <c r="E261" s="1">
        <v>0</v>
      </c>
      <c r="F261" s="1">
        <v>2.9</v>
      </c>
      <c r="G261" s="1">
        <v>496.7</v>
      </c>
      <c r="H261" s="3">
        <v>120000</v>
      </c>
    </row>
    <row r="262" spans="1:8" hidden="1" x14ac:dyDescent="0.25">
      <c r="A262" s="1" t="s">
        <v>378</v>
      </c>
      <c r="B262" s="1">
        <v>1400</v>
      </c>
      <c r="C262" s="1">
        <v>57580</v>
      </c>
      <c r="D262" s="1">
        <v>50400</v>
      </c>
      <c r="E262" s="1">
        <v>3</v>
      </c>
      <c r="F262" s="1">
        <v>-9999.9</v>
      </c>
      <c r="G262" s="1">
        <v>-9999.9</v>
      </c>
      <c r="H262" s="3">
        <v>-100000</v>
      </c>
    </row>
    <row r="263" spans="1:8" x14ac:dyDescent="0.25">
      <c r="A263" s="1" t="s">
        <v>378</v>
      </c>
      <c r="B263" s="1">
        <v>1500</v>
      </c>
      <c r="C263" s="1">
        <v>57580</v>
      </c>
      <c r="D263" s="1">
        <v>54000</v>
      </c>
      <c r="E263" s="1">
        <v>1</v>
      </c>
      <c r="F263" s="1">
        <v>3.1</v>
      </c>
      <c r="G263" s="1">
        <v>486.2</v>
      </c>
      <c r="H263" s="3">
        <v>134000</v>
      </c>
    </row>
    <row r="264" spans="1:8" x14ac:dyDescent="0.25">
      <c r="A264" s="1" t="s">
        <v>378</v>
      </c>
      <c r="B264" s="1">
        <v>1600</v>
      </c>
      <c r="C264" s="1">
        <v>57580</v>
      </c>
      <c r="D264" s="1">
        <v>57600</v>
      </c>
      <c r="E264" s="1">
        <v>6</v>
      </c>
      <c r="F264" s="1">
        <v>3.4</v>
      </c>
      <c r="G264" s="1">
        <v>488</v>
      </c>
      <c r="H264" s="3">
        <v>141000</v>
      </c>
    </row>
    <row r="265" spans="1:8" x14ac:dyDescent="0.25">
      <c r="A265" s="1" t="s">
        <v>378</v>
      </c>
      <c r="B265" s="1">
        <v>1700</v>
      </c>
      <c r="C265" s="1">
        <v>57580</v>
      </c>
      <c r="D265" s="1">
        <v>61200</v>
      </c>
      <c r="E265" s="1">
        <v>0</v>
      </c>
      <c r="F265" s="1">
        <v>3.5</v>
      </c>
      <c r="G265" s="1">
        <v>484.4</v>
      </c>
      <c r="H265" s="3">
        <v>136000</v>
      </c>
    </row>
    <row r="266" spans="1:8" x14ac:dyDescent="0.25">
      <c r="A266" s="1" t="s">
        <v>378</v>
      </c>
      <c r="B266" s="1">
        <v>1800</v>
      </c>
      <c r="C266" s="1">
        <v>57580</v>
      </c>
      <c r="D266" s="1">
        <v>64800</v>
      </c>
      <c r="E266" s="1">
        <v>0</v>
      </c>
      <c r="F266" s="1">
        <v>3.7</v>
      </c>
      <c r="G266" s="1">
        <v>482.4</v>
      </c>
      <c r="H266" s="3">
        <v>146000</v>
      </c>
    </row>
    <row r="267" spans="1:8" x14ac:dyDescent="0.25">
      <c r="A267" s="1" t="s">
        <v>378</v>
      </c>
      <c r="B267" s="1">
        <v>1900</v>
      </c>
      <c r="C267" s="1">
        <v>57580</v>
      </c>
      <c r="D267" s="1">
        <v>68400</v>
      </c>
      <c r="E267" s="1">
        <v>1</v>
      </c>
      <c r="F267" s="1">
        <v>3.3</v>
      </c>
      <c r="G267" s="1">
        <v>473.2</v>
      </c>
      <c r="H267" s="3">
        <v>123000</v>
      </c>
    </row>
    <row r="268" spans="1:8" x14ac:dyDescent="0.25">
      <c r="A268" s="1" t="s">
        <v>378</v>
      </c>
      <c r="B268" s="1">
        <v>2000</v>
      </c>
      <c r="C268" s="1">
        <v>57580</v>
      </c>
      <c r="D268" s="1">
        <v>72000</v>
      </c>
      <c r="E268" s="1">
        <v>0</v>
      </c>
      <c r="F268" s="1">
        <v>3.2</v>
      </c>
      <c r="G268" s="1">
        <v>472.8</v>
      </c>
      <c r="H268" s="3">
        <v>138000</v>
      </c>
    </row>
    <row r="269" spans="1:8" x14ac:dyDescent="0.25">
      <c r="A269" s="1" t="s">
        <v>378</v>
      </c>
      <c r="B269" s="1">
        <v>2100</v>
      </c>
      <c r="C269" s="1">
        <v>57580</v>
      </c>
      <c r="D269" s="1">
        <v>75600</v>
      </c>
      <c r="E269" s="1">
        <v>0</v>
      </c>
      <c r="F269" s="1">
        <v>3.2</v>
      </c>
      <c r="G269" s="1">
        <v>462</v>
      </c>
      <c r="H269" s="3">
        <v>117000</v>
      </c>
    </row>
    <row r="270" spans="1:8" x14ac:dyDescent="0.25">
      <c r="A270" s="1" t="s">
        <v>378</v>
      </c>
      <c r="B270" s="1">
        <v>2200</v>
      </c>
      <c r="C270" s="1">
        <v>57580</v>
      </c>
      <c r="D270" s="1">
        <v>79200</v>
      </c>
      <c r="E270" s="1">
        <v>0</v>
      </c>
      <c r="F270" s="1">
        <v>2.4</v>
      </c>
      <c r="G270" s="1">
        <v>483.9</v>
      </c>
      <c r="H270" s="3">
        <v>116000</v>
      </c>
    </row>
    <row r="271" spans="1:8" x14ac:dyDescent="0.25">
      <c r="A271" s="1" t="s">
        <v>378</v>
      </c>
      <c r="B271" s="1">
        <v>2300</v>
      </c>
      <c r="C271" s="1">
        <v>57580</v>
      </c>
      <c r="D271" s="1">
        <v>82800</v>
      </c>
      <c r="E271" s="1">
        <v>0</v>
      </c>
      <c r="F271" s="1">
        <v>3.2</v>
      </c>
      <c r="G271" s="1">
        <v>476.6</v>
      </c>
      <c r="H271" s="3">
        <v>113000</v>
      </c>
    </row>
    <row r="272" spans="1:8" x14ac:dyDescent="0.25">
      <c r="A272" s="1" t="s">
        <v>379</v>
      </c>
      <c r="B272" s="1">
        <v>0</v>
      </c>
      <c r="C272" s="1">
        <v>57581</v>
      </c>
      <c r="D272" s="1">
        <v>0</v>
      </c>
      <c r="E272" s="1">
        <v>0</v>
      </c>
      <c r="F272" s="1">
        <v>3</v>
      </c>
      <c r="G272" s="1">
        <v>497</v>
      </c>
      <c r="H272" s="3">
        <v>125000</v>
      </c>
    </row>
    <row r="273" spans="1:8" x14ac:dyDescent="0.25">
      <c r="A273" s="1" t="s">
        <v>379</v>
      </c>
      <c r="B273" s="1">
        <v>100</v>
      </c>
      <c r="C273" s="1">
        <v>57581</v>
      </c>
      <c r="D273" s="1">
        <v>3600</v>
      </c>
      <c r="E273" s="1">
        <v>0</v>
      </c>
      <c r="F273" s="1">
        <v>2.2999999999999998</v>
      </c>
      <c r="G273" s="1">
        <v>490.3</v>
      </c>
      <c r="H273" s="3">
        <v>144000</v>
      </c>
    </row>
    <row r="274" spans="1:8" x14ac:dyDescent="0.25">
      <c r="A274" s="1" t="s">
        <v>379</v>
      </c>
      <c r="B274" s="1">
        <v>200</v>
      </c>
      <c r="C274" s="1">
        <v>57581</v>
      </c>
      <c r="D274" s="1">
        <v>7200</v>
      </c>
      <c r="E274" s="1">
        <v>0</v>
      </c>
      <c r="F274" s="1">
        <v>2.9</v>
      </c>
      <c r="G274" s="1">
        <v>495.1</v>
      </c>
      <c r="H274" s="3">
        <v>118000</v>
      </c>
    </row>
    <row r="275" spans="1:8" x14ac:dyDescent="0.25">
      <c r="A275" s="1" t="s">
        <v>379</v>
      </c>
      <c r="B275" s="1">
        <v>300</v>
      </c>
      <c r="C275" s="1">
        <v>57581</v>
      </c>
      <c r="D275" s="1">
        <v>10800</v>
      </c>
      <c r="E275" s="1">
        <v>0</v>
      </c>
      <c r="F275" s="1">
        <v>2.9</v>
      </c>
      <c r="G275" s="1">
        <v>500.8</v>
      </c>
      <c r="H275" s="3">
        <v>140000</v>
      </c>
    </row>
    <row r="276" spans="1:8" x14ac:dyDescent="0.25">
      <c r="A276" s="1" t="s">
        <v>379</v>
      </c>
      <c r="B276" s="1">
        <v>400</v>
      </c>
      <c r="C276" s="1">
        <v>57581</v>
      </c>
      <c r="D276" s="1">
        <v>14400</v>
      </c>
      <c r="E276" s="1">
        <v>0</v>
      </c>
      <c r="F276" s="1">
        <v>3.3</v>
      </c>
      <c r="G276" s="1">
        <v>495.6</v>
      </c>
      <c r="H276" s="3">
        <v>154000</v>
      </c>
    </row>
    <row r="277" spans="1:8" x14ac:dyDescent="0.25">
      <c r="A277" s="1" t="s">
        <v>379</v>
      </c>
      <c r="B277" s="1">
        <v>500</v>
      </c>
      <c r="C277" s="1">
        <v>57581</v>
      </c>
      <c r="D277" s="1">
        <v>18000</v>
      </c>
      <c r="E277" s="1">
        <v>0</v>
      </c>
      <c r="F277" s="1">
        <v>3.7</v>
      </c>
      <c r="G277" s="1">
        <v>496.7</v>
      </c>
      <c r="H277" s="3">
        <v>138000</v>
      </c>
    </row>
    <row r="278" spans="1:8" x14ac:dyDescent="0.25">
      <c r="A278" s="1" t="s">
        <v>379</v>
      </c>
      <c r="B278" s="1">
        <v>600</v>
      </c>
      <c r="C278" s="1">
        <v>57581</v>
      </c>
      <c r="D278" s="1">
        <v>21600</v>
      </c>
      <c r="E278" s="1">
        <v>0</v>
      </c>
      <c r="F278" s="1">
        <v>3.6</v>
      </c>
      <c r="G278" s="1">
        <v>509.3</v>
      </c>
      <c r="H278" s="3">
        <v>148000</v>
      </c>
    </row>
    <row r="279" spans="1:8" x14ac:dyDescent="0.25">
      <c r="A279" s="1" t="s">
        <v>379</v>
      </c>
      <c r="B279" s="1">
        <v>700</v>
      </c>
      <c r="C279" s="1">
        <v>57581</v>
      </c>
      <c r="D279" s="1">
        <v>25200</v>
      </c>
      <c r="E279" s="1">
        <v>0</v>
      </c>
      <c r="F279" s="1">
        <v>3.2</v>
      </c>
      <c r="G279" s="1">
        <v>497.1</v>
      </c>
      <c r="H279" s="3">
        <v>97500</v>
      </c>
    </row>
    <row r="280" spans="1:8" x14ac:dyDescent="0.25">
      <c r="A280" s="1" t="s">
        <v>379</v>
      </c>
      <c r="B280" s="1">
        <v>800</v>
      </c>
      <c r="C280" s="1">
        <v>57581</v>
      </c>
      <c r="D280" s="1">
        <v>28800</v>
      </c>
      <c r="E280" s="1">
        <v>0</v>
      </c>
      <c r="F280" s="1">
        <v>2.8</v>
      </c>
      <c r="G280" s="1">
        <v>510.7</v>
      </c>
      <c r="H280" s="3">
        <v>140000</v>
      </c>
    </row>
    <row r="281" spans="1:8" x14ac:dyDescent="0.25">
      <c r="A281" s="1" t="s">
        <v>379</v>
      </c>
      <c r="B281" s="1">
        <v>900</v>
      </c>
      <c r="C281" s="1">
        <v>57581</v>
      </c>
      <c r="D281" s="1">
        <v>32400</v>
      </c>
      <c r="E281" s="1">
        <v>1</v>
      </c>
      <c r="F281" s="1">
        <v>2.9</v>
      </c>
      <c r="G281" s="1">
        <v>562.1</v>
      </c>
      <c r="H281" s="3">
        <v>271000</v>
      </c>
    </row>
    <row r="282" spans="1:8" x14ac:dyDescent="0.25">
      <c r="A282" s="1" t="s">
        <v>379</v>
      </c>
      <c r="B282" s="1">
        <v>1000</v>
      </c>
      <c r="C282" s="1">
        <v>57581</v>
      </c>
      <c r="D282" s="1">
        <v>36000</v>
      </c>
      <c r="E282" s="1">
        <v>0</v>
      </c>
      <c r="F282" s="1">
        <v>3.2</v>
      </c>
      <c r="G282" s="1">
        <v>595</v>
      </c>
      <c r="H282" s="3">
        <v>318000</v>
      </c>
    </row>
    <row r="283" spans="1:8" x14ac:dyDescent="0.25">
      <c r="A283" s="1" t="s">
        <v>379</v>
      </c>
      <c r="B283" s="1">
        <v>1100</v>
      </c>
      <c r="C283" s="1">
        <v>57581</v>
      </c>
      <c r="D283" s="1">
        <v>39600</v>
      </c>
      <c r="E283" s="1">
        <v>1</v>
      </c>
      <c r="F283" s="1">
        <v>2.6</v>
      </c>
      <c r="G283" s="1">
        <v>586.79999999999995</v>
      </c>
      <c r="H283" s="3">
        <v>326000</v>
      </c>
    </row>
    <row r="284" spans="1:8" x14ac:dyDescent="0.25">
      <c r="A284" s="1" t="s">
        <v>379</v>
      </c>
      <c r="B284" s="1">
        <v>1200</v>
      </c>
      <c r="C284" s="1">
        <v>57581</v>
      </c>
      <c r="D284" s="1">
        <v>43200</v>
      </c>
      <c r="E284" s="1">
        <v>0</v>
      </c>
      <c r="F284" s="1">
        <v>2.1</v>
      </c>
      <c r="G284" s="1">
        <v>590.4</v>
      </c>
      <c r="H284" s="3">
        <v>168000</v>
      </c>
    </row>
    <row r="285" spans="1:8" x14ac:dyDescent="0.25">
      <c r="A285" s="1" t="s">
        <v>379</v>
      </c>
      <c r="B285" s="1">
        <v>1300</v>
      </c>
      <c r="C285" s="1">
        <v>57581</v>
      </c>
      <c r="D285" s="1">
        <v>46800</v>
      </c>
      <c r="E285" s="1">
        <v>0</v>
      </c>
      <c r="F285" s="1">
        <v>2.9</v>
      </c>
      <c r="G285" s="1">
        <v>549.29999999999995</v>
      </c>
      <c r="H285" s="3">
        <v>164000</v>
      </c>
    </row>
    <row r="286" spans="1:8" x14ac:dyDescent="0.25">
      <c r="A286" s="1" t="s">
        <v>379</v>
      </c>
      <c r="B286" s="1">
        <v>1400</v>
      </c>
      <c r="C286" s="1">
        <v>57581</v>
      </c>
      <c r="D286" s="1">
        <v>50400</v>
      </c>
      <c r="E286" s="1">
        <v>0</v>
      </c>
      <c r="F286" s="1">
        <v>2.6</v>
      </c>
      <c r="G286" s="1">
        <v>542.79999999999995</v>
      </c>
      <c r="H286" s="3">
        <v>115000</v>
      </c>
    </row>
    <row r="287" spans="1:8" x14ac:dyDescent="0.25">
      <c r="A287" s="1" t="s">
        <v>379</v>
      </c>
      <c r="B287" s="1">
        <v>1500</v>
      </c>
      <c r="C287" s="1">
        <v>57581</v>
      </c>
      <c r="D287" s="1">
        <v>54000</v>
      </c>
      <c r="E287" s="1">
        <v>0</v>
      </c>
      <c r="F287" s="1">
        <v>2.2999999999999998</v>
      </c>
      <c r="G287" s="1">
        <v>564.70000000000005</v>
      </c>
      <c r="H287" s="3">
        <v>122000</v>
      </c>
    </row>
    <row r="288" spans="1:8" x14ac:dyDescent="0.25">
      <c r="A288" s="1" t="s">
        <v>379</v>
      </c>
      <c r="B288" s="1">
        <v>1600</v>
      </c>
      <c r="C288" s="1">
        <v>57581</v>
      </c>
      <c r="D288" s="1">
        <v>57600</v>
      </c>
      <c r="E288" s="1">
        <v>0</v>
      </c>
      <c r="F288" s="1">
        <v>0.8</v>
      </c>
      <c r="G288" s="1">
        <v>597.6</v>
      </c>
      <c r="H288" s="3">
        <v>270000</v>
      </c>
    </row>
    <row r="289" spans="1:8" hidden="1" x14ac:dyDescent="0.25">
      <c r="A289" s="1" t="s">
        <v>379</v>
      </c>
      <c r="B289" s="1">
        <v>1700</v>
      </c>
      <c r="C289" s="1">
        <v>57581</v>
      </c>
      <c r="D289" s="1">
        <v>61200</v>
      </c>
      <c r="E289" s="1">
        <v>3</v>
      </c>
      <c r="F289" s="1">
        <v>-9999.9</v>
      </c>
      <c r="G289" s="1">
        <v>-9999.9</v>
      </c>
      <c r="H289" s="3">
        <v>-100000</v>
      </c>
    </row>
    <row r="290" spans="1:8" x14ac:dyDescent="0.25">
      <c r="A290" s="1" t="s">
        <v>379</v>
      </c>
      <c r="B290" s="1">
        <v>1800</v>
      </c>
      <c r="C290" s="1">
        <v>57581</v>
      </c>
      <c r="D290" s="1">
        <v>64800</v>
      </c>
      <c r="E290" s="1">
        <v>0</v>
      </c>
      <c r="F290" s="1">
        <v>0.7</v>
      </c>
      <c r="G290" s="1">
        <v>613.5</v>
      </c>
      <c r="H290" s="3">
        <v>274000</v>
      </c>
    </row>
    <row r="291" spans="1:8" x14ac:dyDescent="0.25">
      <c r="A291" s="1" t="s">
        <v>379</v>
      </c>
      <c r="B291" s="1">
        <v>1900</v>
      </c>
      <c r="C291" s="1">
        <v>57581</v>
      </c>
      <c r="D291" s="1">
        <v>68400</v>
      </c>
      <c r="E291" s="1">
        <v>0</v>
      </c>
      <c r="F291" s="1">
        <v>0.5</v>
      </c>
      <c r="G291" s="1">
        <v>624.29999999999995</v>
      </c>
      <c r="H291" s="3">
        <v>300000</v>
      </c>
    </row>
    <row r="292" spans="1:8" x14ac:dyDescent="0.25">
      <c r="A292" s="1" t="s">
        <v>379</v>
      </c>
      <c r="B292" s="1">
        <v>2000</v>
      </c>
      <c r="C292" s="1">
        <v>57581</v>
      </c>
      <c r="D292" s="1">
        <v>72000</v>
      </c>
      <c r="E292" s="1">
        <v>1</v>
      </c>
      <c r="F292" s="1">
        <v>0.9</v>
      </c>
      <c r="G292" s="1">
        <v>631</v>
      </c>
      <c r="H292" s="3">
        <v>235000</v>
      </c>
    </row>
    <row r="293" spans="1:8" x14ac:dyDescent="0.25">
      <c r="A293" s="1" t="s">
        <v>379</v>
      </c>
      <c r="B293" s="1">
        <v>2100</v>
      </c>
      <c r="C293" s="1">
        <v>57581</v>
      </c>
      <c r="D293" s="1">
        <v>75600</v>
      </c>
      <c r="E293" s="1">
        <v>0</v>
      </c>
      <c r="F293" s="1">
        <v>0.8</v>
      </c>
      <c r="G293" s="1">
        <v>621.29999999999995</v>
      </c>
      <c r="H293" s="3">
        <v>208000</v>
      </c>
    </row>
    <row r="294" spans="1:8" x14ac:dyDescent="0.25">
      <c r="A294" s="1" t="s">
        <v>379</v>
      </c>
      <c r="B294" s="1">
        <v>2200</v>
      </c>
      <c r="C294" s="1">
        <v>57581</v>
      </c>
      <c r="D294" s="1">
        <v>79200</v>
      </c>
      <c r="E294" s="1">
        <v>0</v>
      </c>
      <c r="F294" s="1">
        <v>1.1000000000000001</v>
      </c>
      <c r="G294" s="1">
        <v>606.79999999999995</v>
      </c>
      <c r="H294" s="3">
        <v>164000</v>
      </c>
    </row>
    <row r="295" spans="1:8" x14ac:dyDescent="0.25">
      <c r="A295" s="1" t="s">
        <v>379</v>
      </c>
      <c r="B295" s="1">
        <v>2300</v>
      </c>
      <c r="C295" s="1">
        <v>57581</v>
      </c>
      <c r="D295" s="1">
        <v>82800</v>
      </c>
      <c r="E295" s="1">
        <v>0</v>
      </c>
      <c r="F295" s="1">
        <v>1.2</v>
      </c>
      <c r="G295" s="1">
        <v>596.9</v>
      </c>
      <c r="H295" s="3">
        <v>153000</v>
      </c>
    </row>
    <row r="296" spans="1:8" x14ac:dyDescent="0.25">
      <c r="A296" s="1" t="s">
        <v>380</v>
      </c>
      <c r="B296" s="1">
        <v>0</v>
      </c>
      <c r="C296" s="1">
        <v>57582</v>
      </c>
      <c r="D296" s="1">
        <v>0</v>
      </c>
      <c r="E296" s="1">
        <v>0</v>
      </c>
      <c r="F296" s="1">
        <v>1.6</v>
      </c>
      <c r="G296" s="1">
        <v>591</v>
      </c>
      <c r="H296" s="3">
        <v>116000</v>
      </c>
    </row>
    <row r="297" spans="1:8" x14ac:dyDescent="0.25">
      <c r="A297" s="1" t="s">
        <v>380</v>
      </c>
      <c r="B297" s="1">
        <v>100</v>
      </c>
      <c r="C297" s="1">
        <v>57582</v>
      </c>
      <c r="D297" s="1">
        <v>3600</v>
      </c>
      <c r="E297" s="1">
        <v>0</v>
      </c>
      <c r="F297" s="1">
        <v>1.1000000000000001</v>
      </c>
      <c r="G297" s="1">
        <v>588.70000000000005</v>
      </c>
      <c r="H297" s="3">
        <v>143000</v>
      </c>
    </row>
    <row r="298" spans="1:8" x14ac:dyDescent="0.25">
      <c r="A298" s="1" t="s">
        <v>380</v>
      </c>
      <c r="B298" s="1">
        <v>200</v>
      </c>
      <c r="C298" s="1">
        <v>57582</v>
      </c>
      <c r="D298" s="1">
        <v>7200</v>
      </c>
      <c r="E298" s="1">
        <v>0</v>
      </c>
      <c r="F298" s="1">
        <v>1.7</v>
      </c>
      <c r="G298" s="1">
        <v>592.9</v>
      </c>
      <c r="H298" s="3">
        <v>179000</v>
      </c>
    </row>
    <row r="299" spans="1:8" x14ac:dyDescent="0.25">
      <c r="A299" s="1" t="s">
        <v>380</v>
      </c>
      <c r="B299" s="1">
        <v>300</v>
      </c>
      <c r="C299" s="1">
        <v>57582</v>
      </c>
      <c r="D299" s="1">
        <v>10800</v>
      </c>
      <c r="E299" s="1">
        <v>0</v>
      </c>
      <c r="F299" s="1">
        <v>1.5</v>
      </c>
      <c r="G299" s="1">
        <v>578.9</v>
      </c>
      <c r="H299" s="3">
        <v>144000</v>
      </c>
    </row>
    <row r="300" spans="1:8" x14ac:dyDescent="0.25">
      <c r="A300" s="1" t="s">
        <v>380</v>
      </c>
      <c r="B300" s="1">
        <v>400</v>
      </c>
      <c r="C300" s="1">
        <v>57582</v>
      </c>
      <c r="D300" s="1">
        <v>14400</v>
      </c>
      <c r="E300" s="1">
        <v>1</v>
      </c>
      <c r="F300" s="1">
        <v>1.5</v>
      </c>
      <c r="G300" s="1">
        <v>580.79999999999995</v>
      </c>
      <c r="H300" s="3">
        <v>172000</v>
      </c>
    </row>
    <row r="301" spans="1:8" x14ac:dyDescent="0.25">
      <c r="A301" s="1" t="s">
        <v>380</v>
      </c>
      <c r="B301" s="1">
        <v>500</v>
      </c>
      <c r="C301" s="1">
        <v>57582</v>
      </c>
      <c r="D301" s="1">
        <v>18000</v>
      </c>
      <c r="E301" s="1">
        <v>1</v>
      </c>
      <c r="F301" s="1">
        <v>1.7</v>
      </c>
      <c r="G301" s="1">
        <v>595.79999999999995</v>
      </c>
      <c r="H301" s="3">
        <v>229000</v>
      </c>
    </row>
    <row r="302" spans="1:8" x14ac:dyDescent="0.25">
      <c r="A302" s="1" t="s">
        <v>380</v>
      </c>
      <c r="B302" s="1">
        <v>600</v>
      </c>
      <c r="C302" s="1">
        <v>57582</v>
      </c>
      <c r="D302" s="1">
        <v>21600</v>
      </c>
      <c r="E302" s="1">
        <v>0</v>
      </c>
      <c r="F302" s="1">
        <v>1.9</v>
      </c>
      <c r="G302" s="1">
        <v>597.70000000000005</v>
      </c>
      <c r="H302" s="3">
        <v>204000</v>
      </c>
    </row>
    <row r="303" spans="1:8" x14ac:dyDescent="0.25">
      <c r="A303" s="1" t="s">
        <v>380</v>
      </c>
      <c r="B303" s="1">
        <v>700</v>
      </c>
      <c r="C303" s="1">
        <v>57582</v>
      </c>
      <c r="D303" s="1">
        <v>25200</v>
      </c>
      <c r="E303" s="1">
        <v>0</v>
      </c>
      <c r="F303" s="1">
        <v>2.1</v>
      </c>
      <c r="G303" s="1">
        <v>583.20000000000005</v>
      </c>
      <c r="H303" s="3">
        <v>162000</v>
      </c>
    </row>
    <row r="304" spans="1:8" x14ac:dyDescent="0.25">
      <c r="A304" s="1" t="s">
        <v>380</v>
      </c>
      <c r="B304" s="1">
        <v>800</v>
      </c>
      <c r="C304" s="1">
        <v>57582</v>
      </c>
      <c r="D304" s="1">
        <v>28800</v>
      </c>
      <c r="E304" s="1">
        <v>1</v>
      </c>
      <c r="F304" s="1">
        <v>1.8</v>
      </c>
      <c r="G304" s="1">
        <v>566.1</v>
      </c>
      <c r="H304" s="3">
        <v>157000</v>
      </c>
    </row>
    <row r="305" spans="1:8" x14ac:dyDescent="0.25">
      <c r="A305" s="1" t="s">
        <v>380</v>
      </c>
      <c r="B305" s="1">
        <v>900</v>
      </c>
      <c r="C305" s="1">
        <v>57582</v>
      </c>
      <c r="D305" s="1">
        <v>32400</v>
      </c>
      <c r="E305" s="1">
        <v>1</v>
      </c>
      <c r="F305" s="1">
        <v>1.7</v>
      </c>
      <c r="G305" s="1">
        <v>563.29999999999995</v>
      </c>
      <c r="H305" s="3">
        <v>193000</v>
      </c>
    </row>
    <row r="306" spans="1:8" x14ac:dyDescent="0.25">
      <c r="A306" s="1" t="s">
        <v>380</v>
      </c>
      <c r="B306" s="1">
        <v>1000</v>
      </c>
      <c r="C306" s="1">
        <v>57582</v>
      </c>
      <c r="D306" s="1">
        <v>36000</v>
      </c>
      <c r="E306" s="1">
        <v>0</v>
      </c>
      <c r="F306" s="1">
        <v>1.8</v>
      </c>
      <c r="G306" s="1">
        <v>564</v>
      </c>
      <c r="H306" s="3">
        <v>165000</v>
      </c>
    </row>
    <row r="307" spans="1:8" x14ac:dyDescent="0.25">
      <c r="A307" s="1" t="s">
        <v>380</v>
      </c>
      <c r="B307" s="1">
        <v>1100</v>
      </c>
      <c r="C307" s="1">
        <v>57582</v>
      </c>
      <c r="D307" s="1">
        <v>39600</v>
      </c>
      <c r="E307" s="1">
        <v>0</v>
      </c>
      <c r="F307" s="1">
        <v>1.4</v>
      </c>
      <c r="G307" s="1">
        <v>553.20000000000005</v>
      </c>
      <c r="H307" s="3">
        <v>192000</v>
      </c>
    </row>
    <row r="308" spans="1:8" x14ac:dyDescent="0.25">
      <c r="A308" s="1" t="s">
        <v>380</v>
      </c>
      <c r="B308" s="1">
        <v>1200</v>
      </c>
      <c r="C308" s="1">
        <v>57582</v>
      </c>
      <c r="D308" s="1">
        <v>43200</v>
      </c>
      <c r="E308" s="1">
        <v>0</v>
      </c>
      <c r="F308" s="1">
        <v>1.8</v>
      </c>
      <c r="G308" s="1">
        <v>537.70000000000005</v>
      </c>
      <c r="H308" s="3">
        <v>167000</v>
      </c>
    </row>
    <row r="309" spans="1:8" x14ac:dyDescent="0.25">
      <c r="A309" s="1" t="s">
        <v>380</v>
      </c>
      <c r="B309" s="1">
        <v>1300</v>
      </c>
      <c r="C309" s="1">
        <v>57582</v>
      </c>
      <c r="D309" s="1">
        <v>46800</v>
      </c>
      <c r="E309" s="1">
        <v>0</v>
      </c>
      <c r="F309" s="1">
        <v>1.9</v>
      </c>
      <c r="G309" s="1">
        <v>528.6</v>
      </c>
      <c r="H309" s="3">
        <v>141000</v>
      </c>
    </row>
    <row r="310" spans="1:8" x14ac:dyDescent="0.25">
      <c r="A310" s="1" t="s">
        <v>380</v>
      </c>
      <c r="B310" s="1">
        <v>1400</v>
      </c>
      <c r="C310" s="1">
        <v>57582</v>
      </c>
      <c r="D310" s="1">
        <v>50400</v>
      </c>
      <c r="E310" s="1">
        <v>0</v>
      </c>
      <c r="F310" s="1">
        <v>1.9</v>
      </c>
      <c r="G310" s="1">
        <v>523.9</v>
      </c>
      <c r="H310" s="3">
        <v>99100</v>
      </c>
    </row>
    <row r="311" spans="1:8" x14ac:dyDescent="0.25">
      <c r="A311" s="1" t="s">
        <v>380</v>
      </c>
      <c r="B311" s="1">
        <v>1500</v>
      </c>
      <c r="C311" s="1">
        <v>57582</v>
      </c>
      <c r="D311" s="1">
        <v>54000</v>
      </c>
      <c r="E311" s="1">
        <v>0</v>
      </c>
      <c r="F311" s="1">
        <v>2.2000000000000002</v>
      </c>
      <c r="G311" s="1">
        <v>526.20000000000005</v>
      </c>
      <c r="H311" s="3">
        <v>92600</v>
      </c>
    </row>
    <row r="312" spans="1:8" x14ac:dyDescent="0.25">
      <c r="A312" s="1" t="s">
        <v>380</v>
      </c>
      <c r="B312" s="1">
        <v>1600</v>
      </c>
      <c r="C312" s="1">
        <v>57582</v>
      </c>
      <c r="D312" s="1">
        <v>57600</v>
      </c>
      <c r="E312" s="1">
        <v>0</v>
      </c>
      <c r="F312" s="1">
        <v>1.7</v>
      </c>
      <c r="G312" s="1">
        <v>520.70000000000005</v>
      </c>
      <c r="H312" s="3">
        <v>135000</v>
      </c>
    </row>
    <row r="313" spans="1:8" x14ac:dyDescent="0.25">
      <c r="A313" s="1" t="s">
        <v>380</v>
      </c>
      <c r="B313" s="1">
        <v>1700</v>
      </c>
      <c r="C313" s="1">
        <v>57582</v>
      </c>
      <c r="D313" s="1">
        <v>61200</v>
      </c>
      <c r="E313" s="1">
        <v>0</v>
      </c>
      <c r="F313" s="1">
        <v>2.6</v>
      </c>
      <c r="G313" s="1">
        <v>534.1</v>
      </c>
      <c r="H313" s="3">
        <v>134000</v>
      </c>
    </row>
    <row r="314" spans="1:8" x14ac:dyDescent="0.25">
      <c r="A314" s="1" t="s">
        <v>380</v>
      </c>
      <c r="B314" s="1">
        <v>1800</v>
      </c>
      <c r="C314" s="1">
        <v>57582</v>
      </c>
      <c r="D314" s="1">
        <v>64800</v>
      </c>
      <c r="E314" s="1">
        <v>1</v>
      </c>
      <c r="F314" s="1">
        <v>2.2000000000000002</v>
      </c>
      <c r="G314" s="1">
        <v>530</v>
      </c>
      <c r="H314" s="3">
        <v>132000</v>
      </c>
    </row>
    <row r="315" spans="1:8" x14ac:dyDescent="0.25">
      <c r="A315" s="1" t="s">
        <v>380</v>
      </c>
      <c r="B315" s="1">
        <v>1900</v>
      </c>
      <c r="C315" s="1">
        <v>57582</v>
      </c>
      <c r="D315" s="1">
        <v>68400</v>
      </c>
      <c r="E315" s="1">
        <v>0</v>
      </c>
      <c r="F315" s="1">
        <v>4.3</v>
      </c>
      <c r="G315" s="1">
        <v>519.1</v>
      </c>
      <c r="H315" s="3">
        <v>152000</v>
      </c>
    </row>
    <row r="316" spans="1:8" x14ac:dyDescent="0.25">
      <c r="A316" s="1" t="s">
        <v>380</v>
      </c>
      <c r="B316" s="1">
        <v>2000</v>
      </c>
      <c r="C316" s="1">
        <v>57582</v>
      </c>
      <c r="D316" s="1">
        <v>72000</v>
      </c>
      <c r="E316" s="1">
        <v>1</v>
      </c>
      <c r="F316" s="1">
        <v>3</v>
      </c>
      <c r="G316" s="1">
        <v>518.29999999999995</v>
      </c>
      <c r="H316" s="3">
        <v>145000</v>
      </c>
    </row>
    <row r="317" spans="1:8" x14ac:dyDescent="0.25">
      <c r="A317" s="1" t="s">
        <v>380</v>
      </c>
      <c r="B317" s="1">
        <v>2100</v>
      </c>
      <c r="C317" s="1">
        <v>57582</v>
      </c>
      <c r="D317" s="1">
        <v>75600</v>
      </c>
      <c r="E317" s="1">
        <v>0</v>
      </c>
      <c r="F317" s="1">
        <v>3.1</v>
      </c>
      <c r="G317" s="1">
        <v>522.29999999999995</v>
      </c>
      <c r="H317" s="3">
        <v>130000</v>
      </c>
    </row>
    <row r="318" spans="1:8" x14ac:dyDescent="0.25">
      <c r="A318" s="1" t="s">
        <v>380</v>
      </c>
      <c r="B318" s="1">
        <v>2200</v>
      </c>
      <c r="C318" s="1">
        <v>57582</v>
      </c>
      <c r="D318" s="1">
        <v>79200</v>
      </c>
      <c r="E318" s="1">
        <v>0</v>
      </c>
      <c r="F318" s="1">
        <v>2.8</v>
      </c>
      <c r="G318" s="1">
        <v>526.70000000000005</v>
      </c>
      <c r="H318" s="3">
        <v>144000</v>
      </c>
    </row>
    <row r="319" spans="1:8" x14ac:dyDescent="0.25">
      <c r="A319" s="1" t="s">
        <v>380</v>
      </c>
      <c r="B319" s="1">
        <v>2300</v>
      </c>
      <c r="C319" s="1">
        <v>57582</v>
      </c>
      <c r="D319" s="1">
        <v>82800</v>
      </c>
      <c r="E319" s="1">
        <v>1</v>
      </c>
      <c r="F319" s="1">
        <v>2.6</v>
      </c>
      <c r="G319" s="1">
        <v>507.7</v>
      </c>
      <c r="H319" s="3">
        <v>147000</v>
      </c>
    </row>
    <row r="320" spans="1:8" x14ac:dyDescent="0.25">
      <c r="A320" s="1" t="s">
        <v>381</v>
      </c>
      <c r="B320" s="1">
        <v>0</v>
      </c>
      <c r="C320" s="1">
        <v>57583</v>
      </c>
      <c r="D320" s="1">
        <v>0</v>
      </c>
      <c r="E320" s="1">
        <v>1</v>
      </c>
      <c r="F320" s="1">
        <v>2.2999999999999998</v>
      </c>
      <c r="G320" s="1">
        <v>515.29999999999995</v>
      </c>
      <c r="H320" s="3">
        <v>149000</v>
      </c>
    </row>
    <row r="321" spans="1:8" x14ac:dyDescent="0.25">
      <c r="A321" s="1" t="s">
        <v>381</v>
      </c>
      <c r="B321" s="1">
        <v>100</v>
      </c>
      <c r="C321" s="1">
        <v>57583</v>
      </c>
      <c r="D321" s="1">
        <v>3600</v>
      </c>
      <c r="E321" s="1">
        <v>1</v>
      </c>
      <c r="F321" s="1">
        <v>2.8</v>
      </c>
      <c r="G321" s="1">
        <v>506.2</v>
      </c>
      <c r="H321" s="3">
        <v>108000</v>
      </c>
    </row>
    <row r="322" spans="1:8" x14ac:dyDescent="0.25">
      <c r="A322" s="1" t="s">
        <v>381</v>
      </c>
      <c r="B322" s="1">
        <v>200</v>
      </c>
      <c r="C322" s="1">
        <v>57583</v>
      </c>
      <c r="D322" s="1">
        <v>7200</v>
      </c>
      <c r="E322" s="1">
        <v>0</v>
      </c>
      <c r="F322" s="1">
        <v>2.2999999999999998</v>
      </c>
      <c r="G322" s="1">
        <v>493</v>
      </c>
      <c r="H322" s="3">
        <v>123000</v>
      </c>
    </row>
    <row r="323" spans="1:8" x14ac:dyDescent="0.25">
      <c r="A323" s="1" t="s">
        <v>381</v>
      </c>
      <c r="B323" s="1">
        <v>300</v>
      </c>
      <c r="C323" s="1">
        <v>57583</v>
      </c>
      <c r="D323" s="1">
        <v>10800</v>
      </c>
      <c r="E323" s="1">
        <v>1</v>
      </c>
      <c r="F323" s="1">
        <v>2.6</v>
      </c>
      <c r="G323" s="1">
        <v>490.3</v>
      </c>
      <c r="H323" s="3">
        <v>158000</v>
      </c>
    </row>
    <row r="324" spans="1:8" x14ac:dyDescent="0.25">
      <c r="A324" s="1" t="s">
        <v>381</v>
      </c>
      <c r="B324" s="1">
        <v>400</v>
      </c>
      <c r="C324" s="1">
        <v>57583</v>
      </c>
      <c r="D324" s="1">
        <v>14400</v>
      </c>
      <c r="E324" s="1">
        <v>0</v>
      </c>
      <c r="F324" s="1">
        <v>3</v>
      </c>
      <c r="G324" s="1">
        <v>503.5</v>
      </c>
      <c r="H324" s="3">
        <v>151000</v>
      </c>
    </row>
    <row r="325" spans="1:8" x14ac:dyDescent="0.25">
      <c r="A325" s="1" t="s">
        <v>381</v>
      </c>
      <c r="B325" s="1">
        <v>500</v>
      </c>
      <c r="C325" s="1">
        <v>57583</v>
      </c>
      <c r="D325" s="1">
        <v>18000</v>
      </c>
      <c r="E325" s="1">
        <v>0</v>
      </c>
      <c r="F325" s="1">
        <v>2.5</v>
      </c>
      <c r="G325" s="1">
        <v>521</v>
      </c>
      <c r="H325" s="3">
        <v>166000</v>
      </c>
    </row>
    <row r="326" spans="1:8" x14ac:dyDescent="0.25">
      <c r="A326" s="1" t="s">
        <v>381</v>
      </c>
      <c r="B326" s="1">
        <v>600</v>
      </c>
      <c r="C326" s="1">
        <v>57583</v>
      </c>
      <c r="D326" s="1">
        <v>21600</v>
      </c>
      <c r="E326" s="1">
        <v>0</v>
      </c>
      <c r="F326" s="1">
        <v>3.2</v>
      </c>
      <c r="G326" s="1">
        <v>520.9</v>
      </c>
      <c r="H326" s="3">
        <v>146000</v>
      </c>
    </row>
    <row r="327" spans="1:8" x14ac:dyDescent="0.25">
      <c r="A327" s="1" t="s">
        <v>381</v>
      </c>
      <c r="B327" s="1">
        <v>700</v>
      </c>
      <c r="C327" s="1">
        <v>57583</v>
      </c>
      <c r="D327" s="1">
        <v>25200</v>
      </c>
      <c r="E327" s="1">
        <v>1</v>
      </c>
      <c r="F327" s="1">
        <v>3</v>
      </c>
      <c r="G327" s="1">
        <v>533.9</v>
      </c>
      <c r="H327" s="3">
        <v>157000</v>
      </c>
    </row>
    <row r="328" spans="1:8" x14ac:dyDescent="0.25">
      <c r="A328" s="1" t="s">
        <v>381</v>
      </c>
      <c r="B328" s="1">
        <v>800</v>
      </c>
      <c r="C328" s="1">
        <v>57583</v>
      </c>
      <c r="D328" s="1">
        <v>28800</v>
      </c>
      <c r="E328" s="1">
        <v>0</v>
      </c>
      <c r="F328" s="1">
        <v>3.3</v>
      </c>
      <c r="G328" s="1">
        <v>526.6</v>
      </c>
      <c r="H328" s="3">
        <v>185000</v>
      </c>
    </row>
    <row r="329" spans="1:8" x14ac:dyDescent="0.25">
      <c r="A329" s="1" t="s">
        <v>381</v>
      </c>
      <c r="B329" s="1">
        <v>900</v>
      </c>
      <c r="C329" s="1">
        <v>57583</v>
      </c>
      <c r="D329" s="1">
        <v>32400</v>
      </c>
      <c r="E329" s="1">
        <v>0</v>
      </c>
      <c r="F329" s="1">
        <v>2.7</v>
      </c>
      <c r="G329" s="1">
        <v>529.9</v>
      </c>
      <c r="H329" s="3">
        <v>198000</v>
      </c>
    </row>
    <row r="330" spans="1:8" x14ac:dyDescent="0.25">
      <c r="A330" s="1" t="s">
        <v>381</v>
      </c>
      <c r="B330" s="1">
        <v>1000</v>
      </c>
      <c r="C330" s="1">
        <v>57583</v>
      </c>
      <c r="D330" s="1">
        <v>36000</v>
      </c>
      <c r="E330" s="1">
        <v>0</v>
      </c>
      <c r="F330" s="1">
        <v>3.1</v>
      </c>
      <c r="G330" s="1">
        <v>545.5</v>
      </c>
      <c r="H330" s="3">
        <v>192000</v>
      </c>
    </row>
  </sheetData>
  <mergeCells count="1">
    <mergeCell ref="E1:L4"/>
  </mergeCells>
  <hyperlinks>
    <hyperlink ref="B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Wind">
                <anchor moveWithCells="1" sizeWithCells="1">
                  <from>
                    <xdr:col>2</xdr:col>
                    <xdr:colOff>876300</xdr:colOff>
                    <xdr:row>2</xdr:row>
                    <xdr:rowOff>190500</xdr:rowOff>
                  </from>
                  <to>
                    <xdr:col>3</xdr:col>
                    <xdr:colOff>857250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pdateRays">
                <anchor moveWithCells="1" sizeWithCells="1">
                  <from>
                    <xdr:col>2</xdr:col>
                    <xdr:colOff>866775</xdr:colOff>
                    <xdr:row>1</xdr:row>
                    <xdr:rowOff>9525</xdr:rowOff>
                  </from>
                  <to>
                    <xdr:col>3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42"/>
  <sheetViews>
    <sheetView workbookViewId="0">
      <selection activeCell="C13" sqref="C13"/>
    </sheetView>
  </sheetViews>
  <sheetFormatPr defaultColWidth="22.7109375" defaultRowHeight="15" x14ac:dyDescent="0.25"/>
  <cols>
    <col min="1" max="1" width="77" bestFit="1" customWidth="1"/>
    <col min="2" max="2" width="59.42578125" customWidth="1"/>
    <col min="3" max="3" width="5.85546875" bestFit="1" customWidth="1"/>
  </cols>
  <sheetData>
    <row r="1" spans="1:2" x14ac:dyDescent="0.25">
      <c r="A1" t="s">
        <v>27</v>
      </c>
      <c r="B1" t="s">
        <v>47</v>
      </c>
    </row>
    <row r="2" spans="1:2" x14ac:dyDescent="0.25">
      <c r="A2" t="s">
        <v>64</v>
      </c>
      <c r="B2" t="s">
        <v>11</v>
      </c>
    </row>
    <row r="3" spans="1:2" x14ac:dyDescent="0.25">
      <c r="A3" t="s">
        <v>2</v>
      </c>
      <c r="B3" t="s">
        <v>48</v>
      </c>
    </row>
    <row r="4" spans="1:2" x14ac:dyDescent="0.25">
      <c r="A4" t="s">
        <v>3</v>
      </c>
      <c r="B4" t="s">
        <v>63</v>
      </c>
    </row>
    <row r="5" spans="1:2" x14ac:dyDescent="0.25">
      <c r="A5" t="s">
        <v>4</v>
      </c>
      <c r="B5" t="s">
        <v>11</v>
      </c>
    </row>
    <row r="6" spans="1:2" x14ac:dyDescent="0.25">
      <c r="A6" t="s">
        <v>5</v>
      </c>
      <c r="B6" t="s">
        <v>49</v>
      </c>
    </row>
    <row r="7" spans="1:2" x14ac:dyDescent="0.25">
      <c r="A7" t="s">
        <v>6</v>
      </c>
      <c r="B7" t="s">
        <v>11</v>
      </c>
    </row>
    <row r="8" spans="1:2" x14ac:dyDescent="0.25">
      <c r="A8" t="s">
        <v>7</v>
      </c>
      <c r="B8" t="s">
        <v>11</v>
      </c>
    </row>
    <row r="9" spans="1:2" x14ac:dyDescent="0.25">
      <c r="A9" t="s">
        <v>8</v>
      </c>
      <c r="B9" t="s">
        <v>50</v>
      </c>
    </row>
    <row r="10" spans="1:2" x14ac:dyDescent="0.25">
      <c r="A10" t="s">
        <v>9</v>
      </c>
      <c r="B10" t="s">
        <v>51</v>
      </c>
    </row>
    <row r="11" spans="1:2" x14ac:dyDescent="0.25">
      <c r="A11" t="s">
        <v>10</v>
      </c>
      <c r="B11" t="s">
        <v>52</v>
      </c>
    </row>
    <row r="12" spans="1:2" x14ac:dyDescent="0.25">
      <c r="A12" t="s">
        <v>11</v>
      </c>
      <c r="B12" t="s">
        <v>11</v>
      </c>
    </row>
    <row r="13" spans="1:2" x14ac:dyDescent="0.25">
      <c r="A13" t="s">
        <v>28</v>
      </c>
      <c r="B13" t="s">
        <v>53</v>
      </c>
    </row>
    <row r="14" spans="1:2" x14ac:dyDescent="0.25">
      <c r="A14" t="s">
        <v>4</v>
      </c>
      <c r="B14" t="s">
        <v>11</v>
      </c>
    </row>
    <row r="15" spans="1:2" x14ac:dyDescent="0.25">
      <c r="A15" t="s">
        <v>12</v>
      </c>
      <c r="B15" t="s">
        <v>54</v>
      </c>
    </row>
    <row r="16" spans="1:2" x14ac:dyDescent="0.25">
      <c r="A16" t="s">
        <v>13</v>
      </c>
      <c r="B16" t="s">
        <v>55</v>
      </c>
    </row>
    <row r="17" spans="1:3" x14ac:dyDescent="0.25">
      <c r="A17" t="s">
        <v>14</v>
      </c>
      <c r="B17" t="s">
        <v>11</v>
      </c>
    </row>
    <row r="18" spans="1:3" x14ac:dyDescent="0.25">
      <c r="A18" t="s">
        <v>15</v>
      </c>
      <c r="B18" t="s">
        <v>11</v>
      </c>
    </row>
    <row r="19" spans="1:3" x14ac:dyDescent="0.25">
      <c r="A19" t="s">
        <v>29</v>
      </c>
      <c r="B19" t="s">
        <v>56</v>
      </c>
      <c r="C19" t="s">
        <v>57</v>
      </c>
    </row>
    <row r="20" spans="1:3" x14ac:dyDescent="0.25">
      <c r="A20" t="s">
        <v>30</v>
      </c>
      <c r="B20">
        <v>0</v>
      </c>
      <c r="C20">
        <v>1196</v>
      </c>
    </row>
    <row r="21" spans="1:3" x14ac:dyDescent="0.25">
      <c r="A21" t="s">
        <v>31</v>
      </c>
      <c r="B21">
        <v>1</v>
      </c>
      <c r="C21">
        <v>1178</v>
      </c>
    </row>
    <row r="22" spans="1:3" x14ac:dyDescent="0.25">
      <c r="A22" t="s">
        <v>32</v>
      </c>
      <c r="B22">
        <v>2</v>
      </c>
      <c r="C22">
        <v>1151</v>
      </c>
    </row>
    <row r="23" spans="1:3" x14ac:dyDescent="0.25">
      <c r="A23" t="s">
        <v>33</v>
      </c>
      <c r="B23">
        <v>3</v>
      </c>
      <c r="C23">
        <v>1156</v>
      </c>
    </row>
    <row r="24" spans="1:3" x14ac:dyDescent="0.25">
      <c r="A24" t="s">
        <v>34</v>
      </c>
      <c r="B24">
        <v>4</v>
      </c>
      <c r="C24">
        <v>1215</v>
      </c>
    </row>
    <row r="25" spans="1:3" x14ac:dyDescent="0.25">
      <c r="A25" t="s">
        <v>35</v>
      </c>
      <c r="B25">
        <v>5</v>
      </c>
      <c r="C25">
        <v>1145</v>
      </c>
    </row>
    <row r="26" spans="1:3" x14ac:dyDescent="0.25">
      <c r="A26" t="s">
        <v>36</v>
      </c>
      <c r="B26">
        <v>6</v>
      </c>
      <c r="C26">
        <v>1231</v>
      </c>
    </row>
    <row r="27" spans="1:3" x14ac:dyDescent="0.25">
      <c r="A27" t="s">
        <v>37</v>
      </c>
      <c r="B27">
        <v>7</v>
      </c>
      <c r="C27">
        <v>1158</v>
      </c>
    </row>
    <row r="28" spans="1:3" x14ac:dyDescent="0.25">
      <c r="A28" t="s">
        <v>38</v>
      </c>
      <c r="B28">
        <v>8</v>
      </c>
      <c r="C28">
        <v>1223</v>
      </c>
    </row>
    <row r="29" spans="1:3" x14ac:dyDescent="0.25">
      <c r="A29" t="s">
        <v>39</v>
      </c>
      <c r="B29">
        <v>9</v>
      </c>
      <c r="C29">
        <v>1283</v>
      </c>
    </row>
    <row r="30" spans="1:3" x14ac:dyDescent="0.25">
      <c r="A30" t="s">
        <v>40</v>
      </c>
      <c r="B30">
        <v>10</v>
      </c>
      <c r="C30">
        <v>1253</v>
      </c>
    </row>
    <row r="31" spans="1:3" x14ac:dyDescent="0.25">
      <c r="A31" t="s">
        <v>41</v>
      </c>
      <c r="B31">
        <v>11</v>
      </c>
      <c r="C31">
        <v>1229</v>
      </c>
    </row>
    <row r="32" spans="1:3" x14ac:dyDescent="0.25">
      <c r="A32" t="s">
        <v>42</v>
      </c>
      <c r="B32">
        <v>12</v>
      </c>
      <c r="C32">
        <v>1270</v>
      </c>
    </row>
    <row r="33" spans="1:3" x14ac:dyDescent="0.25">
      <c r="A33" t="s">
        <v>43</v>
      </c>
      <c r="B33">
        <v>13</v>
      </c>
      <c r="C33">
        <v>1299</v>
      </c>
    </row>
    <row r="34" spans="1:3" x14ac:dyDescent="0.25">
      <c r="A34" t="s">
        <v>44</v>
      </c>
      <c r="B34">
        <v>14</v>
      </c>
      <c r="C34">
        <v>1315</v>
      </c>
    </row>
    <row r="35" spans="1:3" x14ac:dyDescent="0.25">
      <c r="A35" t="s">
        <v>45</v>
      </c>
      <c r="B35">
        <v>15</v>
      </c>
      <c r="C35">
        <v>1422</v>
      </c>
    </row>
    <row r="36" spans="1:3" x14ac:dyDescent="0.25">
      <c r="A36" t="s">
        <v>60</v>
      </c>
      <c r="B36">
        <v>16</v>
      </c>
      <c r="C36">
        <v>1355</v>
      </c>
    </row>
    <row r="37" spans="1:3" x14ac:dyDescent="0.25">
      <c r="A37" t="s">
        <v>62</v>
      </c>
      <c r="B37">
        <v>17</v>
      </c>
      <c r="C37">
        <v>1286</v>
      </c>
    </row>
    <row r="38" spans="1:3" x14ac:dyDescent="0.25">
      <c r="A38" t="s">
        <v>65</v>
      </c>
      <c r="B38">
        <v>18</v>
      </c>
      <c r="C38">
        <v>1316</v>
      </c>
    </row>
    <row r="39" spans="1:3" x14ac:dyDescent="0.25">
      <c r="A39" t="s">
        <v>66</v>
      </c>
      <c r="B39">
        <v>19</v>
      </c>
      <c r="C39">
        <v>1255</v>
      </c>
    </row>
    <row r="40" spans="1:3" x14ac:dyDescent="0.25">
      <c r="A40" t="s">
        <v>67</v>
      </c>
      <c r="B40">
        <v>20</v>
      </c>
      <c r="C40">
        <v>1201</v>
      </c>
    </row>
    <row r="41" spans="1:3" x14ac:dyDescent="0.25">
      <c r="A41" t="s">
        <v>68</v>
      </c>
      <c r="B41">
        <v>21</v>
      </c>
      <c r="C41">
        <v>1217</v>
      </c>
    </row>
    <row r="42" spans="1:3" x14ac:dyDescent="0.25">
      <c r="A42" t="s">
        <v>69</v>
      </c>
      <c r="B42">
        <v>22</v>
      </c>
      <c r="C42">
        <v>1145</v>
      </c>
    </row>
    <row r="43" spans="1:3" x14ac:dyDescent="0.25">
      <c r="A43" t="s">
        <v>70</v>
      </c>
      <c r="B43">
        <v>23</v>
      </c>
      <c r="C43">
        <v>1137</v>
      </c>
    </row>
    <row r="44" spans="1:3" x14ac:dyDescent="0.25">
      <c r="A44" t="s">
        <v>71</v>
      </c>
    </row>
    <row r="45" spans="1:3" x14ac:dyDescent="0.25">
      <c r="A45" t="s">
        <v>72</v>
      </c>
      <c r="B45" t="s">
        <v>16</v>
      </c>
    </row>
    <row r="46" spans="1:3" x14ac:dyDescent="0.25">
      <c r="A46" t="s">
        <v>73</v>
      </c>
    </row>
    <row r="47" spans="1:3" x14ac:dyDescent="0.25">
      <c r="A47" t="s">
        <v>74</v>
      </c>
    </row>
    <row r="48" spans="1:3" x14ac:dyDescent="0.25">
      <c r="A48" t="s">
        <v>75</v>
      </c>
    </row>
    <row r="49" spans="1:1" x14ac:dyDescent="0.25">
      <c r="A49" t="s">
        <v>76</v>
      </c>
    </row>
    <row r="50" spans="1:1" x14ac:dyDescent="0.25">
      <c r="A50" t="s">
        <v>77</v>
      </c>
    </row>
    <row r="51" spans="1:1" x14ac:dyDescent="0.25">
      <c r="A51" t="s">
        <v>78</v>
      </c>
    </row>
    <row r="52" spans="1:1" x14ac:dyDescent="0.25">
      <c r="A52" t="s">
        <v>79</v>
      </c>
    </row>
    <row r="53" spans="1:1" x14ac:dyDescent="0.25">
      <c r="A53" t="s">
        <v>80</v>
      </c>
    </row>
    <row r="54" spans="1:1" x14ac:dyDescent="0.25">
      <c r="A54" t="s">
        <v>81</v>
      </c>
    </row>
    <row r="55" spans="1:1" x14ac:dyDescent="0.25">
      <c r="A55" t="s">
        <v>82</v>
      </c>
    </row>
    <row r="56" spans="1:1" x14ac:dyDescent="0.25">
      <c r="A56" t="s">
        <v>83</v>
      </c>
    </row>
    <row r="57" spans="1:1" x14ac:dyDescent="0.25">
      <c r="A57" t="s">
        <v>84</v>
      </c>
    </row>
    <row r="58" spans="1:1" x14ac:dyDescent="0.25">
      <c r="A58" t="s">
        <v>85</v>
      </c>
    </row>
    <row r="59" spans="1:1" x14ac:dyDescent="0.25">
      <c r="A59" t="s">
        <v>86</v>
      </c>
    </row>
    <row r="60" spans="1:1" x14ac:dyDescent="0.25">
      <c r="A60" t="s">
        <v>87</v>
      </c>
    </row>
    <row r="61" spans="1:1" x14ac:dyDescent="0.25">
      <c r="A61" t="s">
        <v>88</v>
      </c>
    </row>
    <row r="62" spans="1:1" x14ac:dyDescent="0.25">
      <c r="A62" t="s">
        <v>89</v>
      </c>
    </row>
    <row r="63" spans="1:1" x14ac:dyDescent="0.25">
      <c r="A63" t="s">
        <v>90</v>
      </c>
    </row>
    <row r="64" spans="1:1" x14ac:dyDescent="0.25">
      <c r="A64" t="s">
        <v>91</v>
      </c>
    </row>
    <row r="65" spans="1:1" x14ac:dyDescent="0.25">
      <c r="A65" t="s">
        <v>92</v>
      </c>
    </row>
    <row r="66" spans="1:1" x14ac:dyDescent="0.25">
      <c r="A66" t="s">
        <v>93</v>
      </c>
    </row>
    <row r="67" spans="1:1" x14ac:dyDescent="0.25">
      <c r="A67" t="s">
        <v>94</v>
      </c>
    </row>
    <row r="68" spans="1:1" x14ac:dyDescent="0.25">
      <c r="A68" t="s">
        <v>95</v>
      </c>
    </row>
    <row r="69" spans="1:1" x14ac:dyDescent="0.25">
      <c r="A69" t="s">
        <v>96</v>
      </c>
    </row>
    <row r="70" spans="1:1" x14ac:dyDescent="0.25">
      <c r="A70" t="s">
        <v>97</v>
      </c>
    </row>
    <row r="71" spans="1:1" x14ac:dyDescent="0.25">
      <c r="A71" t="s">
        <v>98</v>
      </c>
    </row>
    <row r="72" spans="1:1" x14ac:dyDescent="0.25">
      <c r="A72" t="s">
        <v>99</v>
      </c>
    </row>
    <row r="73" spans="1:1" x14ac:dyDescent="0.25">
      <c r="A73" t="s">
        <v>100</v>
      </c>
    </row>
    <row r="74" spans="1:1" x14ac:dyDescent="0.25">
      <c r="A74" t="s">
        <v>101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108</v>
      </c>
    </row>
    <row r="82" spans="1:1" x14ac:dyDescent="0.25">
      <c r="A82" t="s">
        <v>109</v>
      </c>
    </row>
    <row r="83" spans="1:1" x14ac:dyDescent="0.25">
      <c r="A83" t="s">
        <v>110</v>
      </c>
    </row>
    <row r="84" spans="1:1" x14ac:dyDescent="0.25">
      <c r="A84" t="s">
        <v>111</v>
      </c>
    </row>
    <row r="85" spans="1:1" x14ac:dyDescent="0.25">
      <c r="A85" t="s">
        <v>112</v>
      </c>
    </row>
    <row r="86" spans="1:1" x14ac:dyDescent="0.25">
      <c r="A86" t="s">
        <v>113</v>
      </c>
    </row>
    <row r="87" spans="1:1" x14ac:dyDescent="0.25">
      <c r="A87" t="s">
        <v>114</v>
      </c>
    </row>
    <row r="88" spans="1:1" x14ac:dyDescent="0.25">
      <c r="A88" t="s">
        <v>115</v>
      </c>
    </row>
    <row r="89" spans="1:1" x14ac:dyDescent="0.25">
      <c r="A89" t="s">
        <v>116</v>
      </c>
    </row>
    <row r="90" spans="1:1" x14ac:dyDescent="0.25">
      <c r="A90" t="s">
        <v>117</v>
      </c>
    </row>
    <row r="91" spans="1:1" x14ac:dyDescent="0.25">
      <c r="A91" t="s">
        <v>118</v>
      </c>
    </row>
    <row r="92" spans="1:1" x14ac:dyDescent="0.25">
      <c r="A92" t="s">
        <v>119</v>
      </c>
    </row>
    <row r="93" spans="1:1" x14ac:dyDescent="0.25">
      <c r="A93" t="s">
        <v>120</v>
      </c>
    </row>
    <row r="94" spans="1:1" x14ac:dyDescent="0.25">
      <c r="A94" t="s">
        <v>121</v>
      </c>
    </row>
    <row r="95" spans="1:1" x14ac:dyDescent="0.25">
      <c r="A95" t="s">
        <v>122</v>
      </c>
    </row>
    <row r="96" spans="1:1" x14ac:dyDescent="0.25">
      <c r="A96" t="s">
        <v>123</v>
      </c>
    </row>
    <row r="97" spans="1:1" x14ac:dyDescent="0.25">
      <c r="A97" t="s">
        <v>124</v>
      </c>
    </row>
    <row r="98" spans="1:1" x14ac:dyDescent="0.25">
      <c r="A98" t="s">
        <v>125</v>
      </c>
    </row>
    <row r="99" spans="1:1" x14ac:dyDescent="0.25">
      <c r="A99" t="s">
        <v>126</v>
      </c>
    </row>
    <row r="100" spans="1:1" x14ac:dyDescent="0.25">
      <c r="A100" t="s">
        <v>127</v>
      </c>
    </row>
    <row r="101" spans="1:1" x14ac:dyDescent="0.25">
      <c r="A101" t="s">
        <v>128</v>
      </c>
    </row>
    <row r="102" spans="1:1" x14ac:dyDescent="0.25">
      <c r="A102" t="s">
        <v>129</v>
      </c>
    </row>
    <row r="103" spans="1:1" x14ac:dyDescent="0.25">
      <c r="A103" t="s">
        <v>130</v>
      </c>
    </row>
    <row r="104" spans="1:1" x14ac:dyDescent="0.25">
      <c r="A104" t="s">
        <v>131</v>
      </c>
    </row>
    <row r="105" spans="1:1" x14ac:dyDescent="0.25">
      <c r="A105" t="s">
        <v>132</v>
      </c>
    </row>
    <row r="106" spans="1:1" x14ac:dyDescent="0.25">
      <c r="A106" t="s">
        <v>133</v>
      </c>
    </row>
    <row r="107" spans="1:1" x14ac:dyDescent="0.25">
      <c r="A107" t="s">
        <v>134</v>
      </c>
    </row>
    <row r="108" spans="1:1" x14ac:dyDescent="0.25">
      <c r="A108" t="s">
        <v>135</v>
      </c>
    </row>
    <row r="109" spans="1:1" x14ac:dyDescent="0.25">
      <c r="A109" t="s">
        <v>136</v>
      </c>
    </row>
    <row r="110" spans="1:1" x14ac:dyDescent="0.25">
      <c r="A110" t="s">
        <v>137</v>
      </c>
    </row>
    <row r="111" spans="1:1" x14ac:dyDescent="0.25">
      <c r="A111" t="s">
        <v>138</v>
      </c>
    </row>
    <row r="112" spans="1:1" x14ac:dyDescent="0.25">
      <c r="A112" t="s">
        <v>139</v>
      </c>
    </row>
    <row r="113" spans="1:1" x14ac:dyDescent="0.25">
      <c r="A113" t="s">
        <v>140</v>
      </c>
    </row>
    <row r="114" spans="1:1" x14ac:dyDescent="0.25">
      <c r="A114" t="s">
        <v>141</v>
      </c>
    </row>
    <row r="115" spans="1:1" x14ac:dyDescent="0.25">
      <c r="A115" t="s">
        <v>142</v>
      </c>
    </row>
    <row r="116" spans="1:1" x14ac:dyDescent="0.25">
      <c r="A116" t="s">
        <v>143</v>
      </c>
    </row>
    <row r="117" spans="1:1" x14ac:dyDescent="0.25">
      <c r="A117" t="s">
        <v>144</v>
      </c>
    </row>
    <row r="118" spans="1:1" x14ac:dyDescent="0.25">
      <c r="A118" t="s">
        <v>145</v>
      </c>
    </row>
    <row r="119" spans="1:1" x14ac:dyDescent="0.25">
      <c r="A119" t="s">
        <v>146</v>
      </c>
    </row>
    <row r="120" spans="1:1" x14ac:dyDescent="0.25">
      <c r="A120" t="s">
        <v>147</v>
      </c>
    </row>
    <row r="121" spans="1:1" x14ac:dyDescent="0.25">
      <c r="A121" t="s">
        <v>148</v>
      </c>
    </row>
    <row r="122" spans="1:1" x14ac:dyDescent="0.25">
      <c r="A122" t="s">
        <v>149</v>
      </c>
    </row>
    <row r="123" spans="1:1" x14ac:dyDescent="0.25">
      <c r="A123" t="s">
        <v>150</v>
      </c>
    </row>
    <row r="124" spans="1:1" x14ac:dyDescent="0.25">
      <c r="A124" t="s">
        <v>151</v>
      </c>
    </row>
    <row r="125" spans="1:1" x14ac:dyDescent="0.25">
      <c r="A125" t="s">
        <v>152</v>
      </c>
    </row>
    <row r="126" spans="1:1" x14ac:dyDescent="0.25">
      <c r="A126" t="s">
        <v>153</v>
      </c>
    </row>
    <row r="127" spans="1:1" x14ac:dyDescent="0.25">
      <c r="A127" t="s">
        <v>154</v>
      </c>
    </row>
    <row r="128" spans="1:1" x14ac:dyDescent="0.25">
      <c r="A128" t="s">
        <v>155</v>
      </c>
    </row>
    <row r="129" spans="1:1" x14ac:dyDescent="0.25">
      <c r="A129" t="s">
        <v>156</v>
      </c>
    </row>
    <row r="130" spans="1:1" x14ac:dyDescent="0.25">
      <c r="A130" t="s">
        <v>157</v>
      </c>
    </row>
    <row r="131" spans="1:1" x14ac:dyDescent="0.25">
      <c r="A131" t="s">
        <v>158</v>
      </c>
    </row>
    <row r="132" spans="1:1" x14ac:dyDescent="0.25">
      <c r="A132" t="s">
        <v>159</v>
      </c>
    </row>
    <row r="133" spans="1:1" x14ac:dyDescent="0.25">
      <c r="A133" t="s">
        <v>160</v>
      </c>
    </row>
    <row r="134" spans="1:1" x14ac:dyDescent="0.25">
      <c r="A134" t="s">
        <v>161</v>
      </c>
    </row>
    <row r="135" spans="1:1" x14ac:dyDescent="0.25">
      <c r="A135" t="s">
        <v>162</v>
      </c>
    </row>
    <row r="136" spans="1:1" x14ac:dyDescent="0.25">
      <c r="A136" t="s">
        <v>163</v>
      </c>
    </row>
    <row r="137" spans="1:1" x14ac:dyDescent="0.25">
      <c r="A137" t="s">
        <v>164</v>
      </c>
    </row>
    <row r="138" spans="1:1" x14ac:dyDescent="0.25">
      <c r="A138" t="s">
        <v>165</v>
      </c>
    </row>
    <row r="139" spans="1:1" x14ac:dyDescent="0.25">
      <c r="A139" t="s">
        <v>166</v>
      </c>
    </row>
    <row r="140" spans="1:1" x14ac:dyDescent="0.25">
      <c r="A140" t="s">
        <v>167</v>
      </c>
    </row>
    <row r="141" spans="1:1" x14ac:dyDescent="0.25">
      <c r="A141" t="s">
        <v>168</v>
      </c>
    </row>
    <row r="142" spans="1:1" x14ac:dyDescent="0.25">
      <c r="A142" t="s">
        <v>169</v>
      </c>
    </row>
    <row r="143" spans="1:1" x14ac:dyDescent="0.25">
      <c r="A143" t="s">
        <v>170</v>
      </c>
    </row>
    <row r="144" spans="1:1" x14ac:dyDescent="0.25">
      <c r="A144" t="s">
        <v>171</v>
      </c>
    </row>
    <row r="145" spans="1:1" x14ac:dyDescent="0.25">
      <c r="A145" t="s">
        <v>172</v>
      </c>
    </row>
    <row r="146" spans="1:1" x14ac:dyDescent="0.25">
      <c r="A146" t="s">
        <v>173</v>
      </c>
    </row>
    <row r="147" spans="1:1" x14ac:dyDescent="0.25">
      <c r="A147" t="s">
        <v>174</v>
      </c>
    </row>
    <row r="148" spans="1:1" x14ac:dyDescent="0.25">
      <c r="A148" t="s">
        <v>175</v>
      </c>
    </row>
    <row r="149" spans="1:1" x14ac:dyDescent="0.25">
      <c r="A149" t="s">
        <v>176</v>
      </c>
    </row>
    <row r="150" spans="1:1" x14ac:dyDescent="0.25">
      <c r="A150" t="s">
        <v>177</v>
      </c>
    </row>
    <row r="151" spans="1:1" x14ac:dyDescent="0.25">
      <c r="A151" t="s">
        <v>178</v>
      </c>
    </row>
    <row r="152" spans="1:1" x14ac:dyDescent="0.25">
      <c r="A152" t="s">
        <v>179</v>
      </c>
    </row>
    <row r="153" spans="1:1" x14ac:dyDescent="0.25">
      <c r="A153" t="s">
        <v>180</v>
      </c>
    </row>
    <row r="154" spans="1:1" x14ac:dyDescent="0.25">
      <c r="A154" t="s">
        <v>181</v>
      </c>
    </row>
    <row r="155" spans="1:1" x14ac:dyDescent="0.25">
      <c r="A155" t="s">
        <v>182</v>
      </c>
    </row>
    <row r="156" spans="1:1" x14ac:dyDescent="0.25">
      <c r="A156" t="s">
        <v>183</v>
      </c>
    </row>
    <row r="157" spans="1:1" x14ac:dyDescent="0.25">
      <c r="A157" t="s">
        <v>184</v>
      </c>
    </row>
    <row r="158" spans="1:1" x14ac:dyDescent="0.25">
      <c r="A158" t="s">
        <v>185</v>
      </c>
    </row>
    <row r="159" spans="1:1" x14ac:dyDescent="0.25">
      <c r="A159" t="s">
        <v>186</v>
      </c>
    </row>
    <row r="160" spans="1:1" x14ac:dyDescent="0.25">
      <c r="A160" t="s">
        <v>187</v>
      </c>
    </row>
    <row r="161" spans="1:1" x14ac:dyDescent="0.25">
      <c r="A161" t="s">
        <v>188</v>
      </c>
    </row>
    <row r="162" spans="1:1" x14ac:dyDescent="0.25">
      <c r="A162" t="s">
        <v>189</v>
      </c>
    </row>
    <row r="163" spans="1:1" x14ac:dyDescent="0.25">
      <c r="A163" t="s">
        <v>190</v>
      </c>
    </row>
    <row r="164" spans="1:1" x14ac:dyDescent="0.25">
      <c r="A164" t="s">
        <v>191</v>
      </c>
    </row>
    <row r="165" spans="1:1" x14ac:dyDescent="0.25">
      <c r="A165" t="s">
        <v>192</v>
      </c>
    </row>
    <row r="166" spans="1:1" x14ac:dyDescent="0.25">
      <c r="A166" t="s">
        <v>193</v>
      </c>
    </row>
    <row r="167" spans="1:1" x14ac:dyDescent="0.25">
      <c r="A167" t="s">
        <v>194</v>
      </c>
    </row>
    <row r="168" spans="1:1" x14ac:dyDescent="0.25">
      <c r="A168" t="s">
        <v>195</v>
      </c>
    </row>
    <row r="169" spans="1:1" x14ac:dyDescent="0.25">
      <c r="A169" t="s">
        <v>196</v>
      </c>
    </row>
    <row r="170" spans="1:1" x14ac:dyDescent="0.25">
      <c r="A170" t="s">
        <v>197</v>
      </c>
    </row>
    <row r="171" spans="1:1" x14ac:dyDescent="0.25">
      <c r="A171" t="s">
        <v>198</v>
      </c>
    </row>
    <row r="172" spans="1:1" x14ac:dyDescent="0.25">
      <c r="A172" t="s">
        <v>199</v>
      </c>
    </row>
    <row r="173" spans="1:1" x14ac:dyDescent="0.25">
      <c r="A173" t="s">
        <v>200</v>
      </c>
    </row>
    <row r="174" spans="1:1" x14ac:dyDescent="0.25">
      <c r="A174" t="s">
        <v>201</v>
      </c>
    </row>
    <row r="175" spans="1:1" x14ac:dyDescent="0.25">
      <c r="A175" t="s">
        <v>202</v>
      </c>
    </row>
    <row r="176" spans="1:1" x14ac:dyDescent="0.25">
      <c r="A176" t="s">
        <v>203</v>
      </c>
    </row>
    <row r="177" spans="1:1" x14ac:dyDescent="0.25">
      <c r="A177" t="s">
        <v>204</v>
      </c>
    </row>
    <row r="178" spans="1:1" x14ac:dyDescent="0.25">
      <c r="A178" t="s">
        <v>205</v>
      </c>
    </row>
    <row r="179" spans="1:1" x14ac:dyDescent="0.25">
      <c r="A179" t="s">
        <v>206</v>
      </c>
    </row>
    <row r="180" spans="1:1" x14ac:dyDescent="0.25">
      <c r="A180" t="s">
        <v>207</v>
      </c>
    </row>
    <row r="181" spans="1:1" x14ac:dyDescent="0.25">
      <c r="A181" t="s">
        <v>208</v>
      </c>
    </row>
    <row r="182" spans="1:1" x14ac:dyDescent="0.25">
      <c r="A182" t="s">
        <v>209</v>
      </c>
    </row>
    <row r="183" spans="1:1" x14ac:dyDescent="0.25">
      <c r="A183" t="s">
        <v>210</v>
      </c>
    </row>
    <row r="184" spans="1:1" x14ac:dyDescent="0.25">
      <c r="A184" t="s">
        <v>211</v>
      </c>
    </row>
    <row r="185" spans="1:1" x14ac:dyDescent="0.25">
      <c r="A185" t="s">
        <v>212</v>
      </c>
    </row>
    <row r="186" spans="1:1" x14ac:dyDescent="0.25">
      <c r="A186" t="s">
        <v>213</v>
      </c>
    </row>
    <row r="187" spans="1:1" x14ac:dyDescent="0.25">
      <c r="A187" t="s">
        <v>214</v>
      </c>
    </row>
    <row r="188" spans="1:1" x14ac:dyDescent="0.25">
      <c r="A188" t="s">
        <v>215</v>
      </c>
    </row>
    <row r="189" spans="1:1" x14ac:dyDescent="0.25">
      <c r="A189" t="s">
        <v>216</v>
      </c>
    </row>
    <row r="190" spans="1:1" x14ac:dyDescent="0.25">
      <c r="A190" t="s">
        <v>217</v>
      </c>
    </row>
    <row r="191" spans="1:1" x14ac:dyDescent="0.25">
      <c r="A191" t="s">
        <v>218</v>
      </c>
    </row>
    <row r="192" spans="1:1" x14ac:dyDescent="0.25">
      <c r="A192" t="s">
        <v>219</v>
      </c>
    </row>
    <row r="193" spans="1:1" x14ac:dyDescent="0.25">
      <c r="A193" t="s">
        <v>220</v>
      </c>
    </row>
    <row r="194" spans="1:1" x14ac:dyDescent="0.25">
      <c r="A194" t="s">
        <v>221</v>
      </c>
    </row>
    <row r="195" spans="1:1" x14ac:dyDescent="0.25">
      <c r="A195" t="s">
        <v>222</v>
      </c>
    </row>
    <row r="196" spans="1:1" x14ac:dyDescent="0.25">
      <c r="A196" t="s">
        <v>223</v>
      </c>
    </row>
    <row r="197" spans="1:1" x14ac:dyDescent="0.25">
      <c r="A197" t="s">
        <v>224</v>
      </c>
    </row>
    <row r="198" spans="1:1" x14ac:dyDescent="0.25">
      <c r="A198" t="s">
        <v>225</v>
      </c>
    </row>
    <row r="199" spans="1:1" x14ac:dyDescent="0.25">
      <c r="A199" t="s">
        <v>226</v>
      </c>
    </row>
    <row r="200" spans="1:1" x14ac:dyDescent="0.25">
      <c r="A200" t="s">
        <v>227</v>
      </c>
    </row>
    <row r="201" spans="1:1" x14ac:dyDescent="0.25">
      <c r="A201" t="s">
        <v>228</v>
      </c>
    </row>
    <row r="202" spans="1:1" x14ac:dyDescent="0.25">
      <c r="A202" t="s">
        <v>229</v>
      </c>
    </row>
    <row r="203" spans="1:1" x14ac:dyDescent="0.25">
      <c r="A203" t="s">
        <v>230</v>
      </c>
    </row>
    <row r="204" spans="1:1" x14ac:dyDescent="0.25">
      <c r="A204" t="s">
        <v>231</v>
      </c>
    </row>
    <row r="205" spans="1:1" x14ac:dyDescent="0.25">
      <c r="A205" t="s">
        <v>232</v>
      </c>
    </row>
    <row r="206" spans="1:1" x14ac:dyDescent="0.25">
      <c r="A206" t="s">
        <v>233</v>
      </c>
    </row>
    <row r="207" spans="1:1" x14ac:dyDescent="0.25">
      <c r="A207" t="s">
        <v>234</v>
      </c>
    </row>
    <row r="208" spans="1:1" x14ac:dyDescent="0.25">
      <c r="A208" t="s">
        <v>235</v>
      </c>
    </row>
    <row r="209" spans="1:1" x14ac:dyDescent="0.25">
      <c r="A209" t="s">
        <v>236</v>
      </c>
    </row>
    <row r="210" spans="1:1" x14ac:dyDescent="0.25">
      <c r="A210" t="s">
        <v>237</v>
      </c>
    </row>
    <row r="211" spans="1:1" x14ac:dyDescent="0.25">
      <c r="A211" t="s">
        <v>238</v>
      </c>
    </row>
    <row r="212" spans="1:1" x14ac:dyDescent="0.25">
      <c r="A212" t="s">
        <v>239</v>
      </c>
    </row>
    <row r="213" spans="1:1" x14ac:dyDescent="0.25">
      <c r="A213" t="s">
        <v>240</v>
      </c>
    </row>
    <row r="214" spans="1:1" x14ac:dyDescent="0.25">
      <c r="A214" t="s">
        <v>241</v>
      </c>
    </row>
    <row r="215" spans="1:1" x14ac:dyDescent="0.25">
      <c r="A215" t="s">
        <v>242</v>
      </c>
    </row>
    <row r="216" spans="1:1" x14ac:dyDescent="0.25">
      <c r="A216" t="s">
        <v>243</v>
      </c>
    </row>
    <row r="217" spans="1:1" x14ac:dyDescent="0.25">
      <c r="A217" t="s">
        <v>244</v>
      </c>
    </row>
    <row r="218" spans="1:1" x14ac:dyDescent="0.25">
      <c r="A218" t="s">
        <v>245</v>
      </c>
    </row>
    <row r="219" spans="1:1" x14ac:dyDescent="0.25">
      <c r="A219" t="s">
        <v>246</v>
      </c>
    </row>
    <row r="220" spans="1:1" x14ac:dyDescent="0.25">
      <c r="A220" t="s">
        <v>247</v>
      </c>
    </row>
    <row r="221" spans="1:1" x14ac:dyDescent="0.25">
      <c r="A221" t="s">
        <v>248</v>
      </c>
    </row>
    <row r="222" spans="1:1" x14ac:dyDescent="0.25">
      <c r="A222" t="s">
        <v>249</v>
      </c>
    </row>
    <row r="223" spans="1:1" x14ac:dyDescent="0.25">
      <c r="A223" t="s">
        <v>250</v>
      </c>
    </row>
    <row r="224" spans="1:1" x14ac:dyDescent="0.25">
      <c r="A224" t="s">
        <v>251</v>
      </c>
    </row>
    <row r="225" spans="1:1" x14ac:dyDescent="0.25">
      <c r="A225" t="s">
        <v>252</v>
      </c>
    </row>
    <row r="226" spans="1:1" x14ac:dyDescent="0.25">
      <c r="A226" t="s">
        <v>253</v>
      </c>
    </row>
    <row r="227" spans="1:1" x14ac:dyDescent="0.25">
      <c r="A227" t="s">
        <v>254</v>
      </c>
    </row>
    <row r="228" spans="1:1" x14ac:dyDescent="0.25">
      <c r="A228" t="s">
        <v>255</v>
      </c>
    </row>
    <row r="229" spans="1:1" x14ac:dyDescent="0.25">
      <c r="A229" t="s">
        <v>256</v>
      </c>
    </row>
    <row r="230" spans="1:1" x14ac:dyDescent="0.25">
      <c r="A230" t="s">
        <v>257</v>
      </c>
    </row>
    <row r="231" spans="1:1" x14ac:dyDescent="0.25">
      <c r="A231" t="s">
        <v>258</v>
      </c>
    </row>
    <row r="232" spans="1:1" x14ac:dyDescent="0.25">
      <c r="A232" t="s">
        <v>259</v>
      </c>
    </row>
    <row r="233" spans="1:1" x14ac:dyDescent="0.25">
      <c r="A233" t="s">
        <v>260</v>
      </c>
    </row>
    <row r="234" spans="1:1" x14ac:dyDescent="0.25">
      <c r="A234" t="s">
        <v>261</v>
      </c>
    </row>
    <row r="235" spans="1:1" x14ac:dyDescent="0.25">
      <c r="A235" t="s">
        <v>262</v>
      </c>
    </row>
    <row r="236" spans="1:1" x14ac:dyDescent="0.25">
      <c r="A236" t="s">
        <v>263</v>
      </c>
    </row>
    <row r="237" spans="1:1" x14ac:dyDescent="0.25">
      <c r="A237" t="s">
        <v>264</v>
      </c>
    </row>
    <row r="238" spans="1:1" x14ac:dyDescent="0.25">
      <c r="A238" t="s">
        <v>265</v>
      </c>
    </row>
    <row r="239" spans="1:1" x14ac:dyDescent="0.25">
      <c r="A239" t="s">
        <v>266</v>
      </c>
    </row>
    <row r="240" spans="1:1" x14ac:dyDescent="0.25">
      <c r="A240" t="s">
        <v>267</v>
      </c>
    </row>
    <row r="241" spans="1:1" x14ac:dyDescent="0.25">
      <c r="A241" t="s">
        <v>268</v>
      </c>
    </row>
    <row r="242" spans="1:1" x14ac:dyDescent="0.25">
      <c r="A242" t="s">
        <v>269</v>
      </c>
    </row>
    <row r="243" spans="1:1" x14ac:dyDescent="0.25">
      <c r="A243" t="s">
        <v>270</v>
      </c>
    </row>
    <row r="244" spans="1:1" x14ac:dyDescent="0.25">
      <c r="A244" t="s">
        <v>271</v>
      </c>
    </row>
    <row r="245" spans="1:1" x14ac:dyDescent="0.25">
      <c r="A245" t="s">
        <v>272</v>
      </c>
    </row>
    <row r="246" spans="1:1" x14ac:dyDescent="0.25">
      <c r="A246" t="s">
        <v>273</v>
      </c>
    </row>
    <row r="247" spans="1:1" x14ac:dyDescent="0.25">
      <c r="A247" t="s">
        <v>274</v>
      </c>
    </row>
    <row r="248" spans="1:1" x14ac:dyDescent="0.25">
      <c r="A248" t="s">
        <v>275</v>
      </c>
    </row>
    <row r="249" spans="1:1" x14ac:dyDescent="0.25">
      <c r="A249" t="s">
        <v>276</v>
      </c>
    </row>
    <row r="250" spans="1:1" x14ac:dyDescent="0.25">
      <c r="A250" t="s">
        <v>277</v>
      </c>
    </row>
    <row r="251" spans="1:1" x14ac:dyDescent="0.25">
      <c r="A251" t="s">
        <v>278</v>
      </c>
    </row>
    <row r="252" spans="1:1" x14ac:dyDescent="0.25">
      <c r="A252" t="s">
        <v>279</v>
      </c>
    </row>
    <row r="253" spans="1:1" x14ac:dyDescent="0.25">
      <c r="A253" t="s">
        <v>280</v>
      </c>
    </row>
    <row r="254" spans="1:1" x14ac:dyDescent="0.25">
      <c r="A254" t="s">
        <v>281</v>
      </c>
    </row>
    <row r="255" spans="1:1" x14ac:dyDescent="0.25">
      <c r="A255" t="s">
        <v>282</v>
      </c>
    </row>
    <row r="256" spans="1:1" x14ac:dyDescent="0.25">
      <c r="A256" t="s">
        <v>283</v>
      </c>
    </row>
    <row r="257" spans="1:1" x14ac:dyDescent="0.25">
      <c r="A257" t="s">
        <v>284</v>
      </c>
    </row>
    <row r="258" spans="1:1" x14ac:dyDescent="0.25">
      <c r="A258" t="s">
        <v>285</v>
      </c>
    </row>
    <row r="259" spans="1:1" x14ac:dyDescent="0.25">
      <c r="A259" t="s">
        <v>286</v>
      </c>
    </row>
    <row r="260" spans="1:1" x14ac:dyDescent="0.25">
      <c r="A260" t="s">
        <v>287</v>
      </c>
    </row>
    <row r="261" spans="1:1" x14ac:dyDescent="0.25">
      <c r="A261" t="s">
        <v>288</v>
      </c>
    </row>
    <row r="262" spans="1:1" x14ac:dyDescent="0.25">
      <c r="A262" t="s">
        <v>289</v>
      </c>
    </row>
    <row r="263" spans="1:1" x14ac:dyDescent="0.25">
      <c r="A263" t="s">
        <v>290</v>
      </c>
    </row>
    <row r="264" spans="1:1" x14ac:dyDescent="0.25">
      <c r="A264" t="s">
        <v>291</v>
      </c>
    </row>
    <row r="265" spans="1:1" x14ac:dyDescent="0.25">
      <c r="A265" t="s">
        <v>292</v>
      </c>
    </row>
    <row r="266" spans="1:1" x14ac:dyDescent="0.25">
      <c r="A266" t="s">
        <v>293</v>
      </c>
    </row>
    <row r="267" spans="1:1" x14ac:dyDescent="0.25">
      <c r="A267" t="s">
        <v>294</v>
      </c>
    </row>
    <row r="268" spans="1:1" x14ac:dyDescent="0.25">
      <c r="A268" t="s">
        <v>295</v>
      </c>
    </row>
    <row r="269" spans="1:1" x14ac:dyDescent="0.25">
      <c r="A269" t="s">
        <v>296</v>
      </c>
    </row>
    <row r="270" spans="1:1" x14ac:dyDescent="0.25">
      <c r="A270" t="s">
        <v>297</v>
      </c>
    </row>
    <row r="271" spans="1:1" x14ac:dyDescent="0.25">
      <c r="A271" t="s">
        <v>298</v>
      </c>
    </row>
    <row r="272" spans="1:1" x14ac:dyDescent="0.25">
      <c r="A272" t="s">
        <v>299</v>
      </c>
    </row>
    <row r="273" spans="1:1" x14ac:dyDescent="0.25">
      <c r="A273" t="s">
        <v>300</v>
      </c>
    </row>
    <row r="274" spans="1:1" x14ac:dyDescent="0.25">
      <c r="A274" t="s">
        <v>301</v>
      </c>
    </row>
    <row r="275" spans="1:1" x14ac:dyDescent="0.25">
      <c r="A275" t="s">
        <v>302</v>
      </c>
    </row>
    <row r="276" spans="1:1" x14ac:dyDescent="0.25">
      <c r="A276" t="s">
        <v>303</v>
      </c>
    </row>
    <row r="277" spans="1:1" x14ac:dyDescent="0.25">
      <c r="A277" t="s">
        <v>304</v>
      </c>
    </row>
    <row r="278" spans="1:1" x14ac:dyDescent="0.25">
      <c r="A278" t="s">
        <v>305</v>
      </c>
    </row>
    <row r="279" spans="1:1" x14ac:dyDescent="0.25">
      <c r="A279" t="s">
        <v>306</v>
      </c>
    </row>
    <row r="280" spans="1:1" x14ac:dyDescent="0.25">
      <c r="A280" t="s">
        <v>307</v>
      </c>
    </row>
    <row r="281" spans="1:1" x14ac:dyDescent="0.25">
      <c r="A281" t="s">
        <v>308</v>
      </c>
    </row>
    <row r="282" spans="1:1" x14ac:dyDescent="0.25">
      <c r="A282" t="s">
        <v>309</v>
      </c>
    </row>
    <row r="283" spans="1:1" x14ac:dyDescent="0.25">
      <c r="A283" t="s">
        <v>310</v>
      </c>
    </row>
    <row r="284" spans="1:1" x14ac:dyDescent="0.25">
      <c r="A284" t="s">
        <v>311</v>
      </c>
    </row>
    <row r="285" spans="1:1" x14ac:dyDescent="0.25">
      <c r="A285" t="s">
        <v>312</v>
      </c>
    </row>
    <row r="286" spans="1:1" x14ac:dyDescent="0.25">
      <c r="A286" t="s">
        <v>313</v>
      </c>
    </row>
    <row r="287" spans="1:1" x14ac:dyDescent="0.25">
      <c r="A287" t="s">
        <v>314</v>
      </c>
    </row>
    <row r="288" spans="1:1" x14ac:dyDescent="0.25">
      <c r="A288" t="s">
        <v>315</v>
      </c>
    </row>
    <row r="289" spans="1:1" x14ac:dyDescent="0.25">
      <c r="A289" t="s">
        <v>316</v>
      </c>
    </row>
    <row r="290" spans="1:1" x14ac:dyDescent="0.25">
      <c r="A290" t="s">
        <v>317</v>
      </c>
    </row>
    <row r="291" spans="1:1" x14ac:dyDescent="0.25">
      <c r="A291" t="s">
        <v>318</v>
      </c>
    </row>
    <row r="292" spans="1:1" x14ac:dyDescent="0.25">
      <c r="A292" t="s">
        <v>319</v>
      </c>
    </row>
    <row r="293" spans="1:1" x14ac:dyDescent="0.25">
      <c r="A293" t="s">
        <v>320</v>
      </c>
    </row>
    <row r="294" spans="1:1" x14ac:dyDescent="0.25">
      <c r="A294" t="s">
        <v>321</v>
      </c>
    </row>
    <row r="295" spans="1:1" x14ac:dyDescent="0.25">
      <c r="A295" t="s">
        <v>322</v>
      </c>
    </row>
    <row r="296" spans="1:1" x14ac:dyDescent="0.25">
      <c r="A296" t="s">
        <v>323</v>
      </c>
    </row>
    <row r="297" spans="1:1" x14ac:dyDescent="0.25">
      <c r="A297" t="s">
        <v>324</v>
      </c>
    </row>
    <row r="298" spans="1:1" x14ac:dyDescent="0.25">
      <c r="A298" t="s">
        <v>325</v>
      </c>
    </row>
    <row r="299" spans="1:1" x14ac:dyDescent="0.25">
      <c r="A299" t="s">
        <v>326</v>
      </c>
    </row>
    <row r="300" spans="1:1" x14ac:dyDescent="0.25">
      <c r="A300" t="s">
        <v>327</v>
      </c>
    </row>
    <row r="301" spans="1:1" x14ac:dyDescent="0.25">
      <c r="A301" t="s">
        <v>328</v>
      </c>
    </row>
    <row r="302" spans="1:1" x14ac:dyDescent="0.25">
      <c r="A302" t="s">
        <v>329</v>
      </c>
    </row>
    <row r="303" spans="1:1" x14ac:dyDescent="0.25">
      <c r="A303" t="s">
        <v>330</v>
      </c>
    </row>
    <row r="304" spans="1:1" x14ac:dyDescent="0.25">
      <c r="A304" t="s">
        <v>331</v>
      </c>
    </row>
    <row r="305" spans="1:1" x14ac:dyDescent="0.25">
      <c r="A305" t="s">
        <v>332</v>
      </c>
    </row>
    <row r="306" spans="1:1" x14ac:dyDescent="0.25">
      <c r="A306" t="s">
        <v>333</v>
      </c>
    </row>
    <row r="307" spans="1:1" x14ac:dyDescent="0.25">
      <c r="A307" t="s">
        <v>334</v>
      </c>
    </row>
    <row r="308" spans="1:1" x14ac:dyDescent="0.25">
      <c r="A308" t="s">
        <v>335</v>
      </c>
    </row>
    <row r="309" spans="1:1" x14ac:dyDescent="0.25">
      <c r="A309" t="s">
        <v>336</v>
      </c>
    </row>
    <row r="310" spans="1:1" x14ac:dyDescent="0.25">
      <c r="A310" t="s">
        <v>337</v>
      </c>
    </row>
    <row r="311" spans="1:1" x14ac:dyDescent="0.25">
      <c r="A311" t="s">
        <v>338</v>
      </c>
    </row>
    <row r="312" spans="1:1" x14ac:dyDescent="0.25">
      <c r="A312" t="s">
        <v>339</v>
      </c>
    </row>
    <row r="313" spans="1:1" x14ac:dyDescent="0.25">
      <c r="A313" t="s">
        <v>340</v>
      </c>
    </row>
    <row r="314" spans="1:1" x14ac:dyDescent="0.25">
      <c r="A314" t="s">
        <v>341</v>
      </c>
    </row>
    <row r="315" spans="1:1" x14ac:dyDescent="0.25">
      <c r="A315" t="s">
        <v>342</v>
      </c>
    </row>
    <row r="316" spans="1:1" x14ac:dyDescent="0.25">
      <c r="A316" t="s">
        <v>343</v>
      </c>
    </row>
    <row r="317" spans="1:1" x14ac:dyDescent="0.25">
      <c r="A317" t="s">
        <v>344</v>
      </c>
    </row>
    <row r="318" spans="1:1" x14ac:dyDescent="0.25">
      <c r="A318" t="s">
        <v>345</v>
      </c>
    </row>
    <row r="319" spans="1:1" x14ac:dyDescent="0.25">
      <c r="A319" t="s">
        <v>346</v>
      </c>
    </row>
    <row r="320" spans="1:1" x14ac:dyDescent="0.25">
      <c r="A320" t="s">
        <v>347</v>
      </c>
    </row>
    <row r="321" spans="1:1" x14ac:dyDescent="0.25">
      <c r="A321" t="s">
        <v>348</v>
      </c>
    </row>
    <row r="322" spans="1:1" x14ac:dyDescent="0.25">
      <c r="A322" t="s">
        <v>349</v>
      </c>
    </row>
    <row r="323" spans="1:1" x14ac:dyDescent="0.25">
      <c r="A323" t="s">
        <v>350</v>
      </c>
    </row>
    <row r="324" spans="1:1" x14ac:dyDescent="0.25">
      <c r="A324" t="s">
        <v>351</v>
      </c>
    </row>
    <row r="325" spans="1:1" x14ac:dyDescent="0.25">
      <c r="A325" t="s">
        <v>352</v>
      </c>
    </row>
    <row r="326" spans="1:1" x14ac:dyDescent="0.25">
      <c r="A326" t="s">
        <v>353</v>
      </c>
    </row>
    <row r="327" spans="1:1" x14ac:dyDescent="0.25">
      <c r="A327" t="s">
        <v>354</v>
      </c>
    </row>
    <row r="328" spans="1:1" x14ac:dyDescent="0.25">
      <c r="A328" t="s">
        <v>355</v>
      </c>
    </row>
    <row r="329" spans="1:1" x14ac:dyDescent="0.25">
      <c r="A329" t="s">
        <v>356</v>
      </c>
    </row>
    <row r="330" spans="1:1" x14ac:dyDescent="0.25">
      <c r="A330" t="s">
        <v>357</v>
      </c>
    </row>
    <row r="331" spans="1:1" x14ac:dyDescent="0.25">
      <c r="A331" t="s">
        <v>358</v>
      </c>
    </row>
    <row r="332" spans="1:1" x14ac:dyDescent="0.25">
      <c r="A332" t="s">
        <v>359</v>
      </c>
    </row>
    <row r="333" spans="1:1" x14ac:dyDescent="0.25">
      <c r="A333" t="s">
        <v>360</v>
      </c>
    </row>
    <row r="334" spans="1:1" x14ac:dyDescent="0.25">
      <c r="A334" t="s">
        <v>361</v>
      </c>
    </row>
    <row r="335" spans="1:1" x14ac:dyDescent="0.25">
      <c r="A335" t="s">
        <v>362</v>
      </c>
    </row>
    <row r="336" spans="1:1" x14ac:dyDescent="0.25">
      <c r="A336" t="s">
        <v>363</v>
      </c>
    </row>
    <row r="337" spans="1:1" x14ac:dyDescent="0.25">
      <c r="A337" t="s">
        <v>364</v>
      </c>
    </row>
    <row r="338" spans="1:1" x14ac:dyDescent="0.25">
      <c r="A338" t="s">
        <v>365</v>
      </c>
    </row>
    <row r="339" spans="1:1" x14ac:dyDescent="0.25">
      <c r="A339" t="s">
        <v>366</v>
      </c>
    </row>
    <row r="340" spans="1:1" x14ac:dyDescent="0.25">
      <c r="A340" t="s">
        <v>367</v>
      </c>
    </row>
    <row r="341" spans="1:1" x14ac:dyDescent="0.25">
      <c r="A341" t="s">
        <v>368</v>
      </c>
    </row>
    <row r="342" spans="1:1" x14ac:dyDescent="0.25">
      <c r="A342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78</vt:i4>
      </vt:variant>
    </vt:vector>
  </HeadingPairs>
  <TitlesOfParts>
    <vt:vector size="80" baseType="lpstr">
      <vt:lpstr>Data Tables and Graphs</vt:lpstr>
      <vt:lpstr>Raw Data Dump</vt:lpstr>
      <vt:lpstr>'Raw Data Dump'!ExternalData_100</vt:lpstr>
      <vt:lpstr>'Raw Data Dump'!ExternalData_101</vt:lpstr>
      <vt:lpstr>'Raw Data Dump'!ExternalData_102</vt:lpstr>
      <vt:lpstr>'Raw Data Dump'!ExternalData_14</vt:lpstr>
      <vt:lpstr>'Raw Data Dump'!ExternalData_16</vt:lpstr>
      <vt:lpstr>'Raw Data Dump'!ExternalData_17</vt:lpstr>
      <vt:lpstr>'Raw Data Dump'!ExternalData_18</vt:lpstr>
      <vt:lpstr>'Raw Data Dump'!ExternalData_19</vt:lpstr>
      <vt:lpstr>'Raw Data Dump'!ExternalData_20</vt:lpstr>
      <vt:lpstr>'Raw Data Dump'!ExternalData_21</vt:lpstr>
      <vt:lpstr>'Raw Data Dump'!ExternalData_22</vt:lpstr>
      <vt:lpstr>'Raw Data Dump'!ExternalData_23</vt:lpstr>
      <vt:lpstr>'Raw Data Dump'!ExternalData_24</vt:lpstr>
      <vt:lpstr>'Raw Data Dump'!ExternalData_25</vt:lpstr>
      <vt:lpstr>'Raw Data Dump'!ExternalData_28</vt:lpstr>
      <vt:lpstr>'Raw Data Dump'!ExternalData_29</vt:lpstr>
      <vt:lpstr>'Raw Data Dump'!ExternalData_30</vt:lpstr>
      <vt:lpstr>'Raw Data Dump'!ExternalData_31</vt:lpstr>
      <vt:lpstr>'Raw Data Dump'!ExternalData_32</vt:lpstr>
      <vt:lpstr>'Raw Data Dump'!ExternalData_33</vt:lpstr>
      <vt:lpstr>'Raw Data Dump'!ExternalData_34</vt:lpstr>
      <vt:lpstr>'Raw Data Dump'!ExternalData_35</vt:lpstr>
      <vt:lpstr>'Raw Data Dump'!ExternalData_36</vt:lpstr>
      <vt:lpstr>'Raw Data Dump'!ExternalData_37</vt:lpstr>
      <vt:lpstr>'Raw Data Dump'!ExternalData_38</vt:lpstr>
      <vt:lpstr>'Raw Data Dump'!ExternalData_39</vt:lpstr>
      <vt:lpstr>'Raw Data Dump'!ExternalData_40</vt:lpstr>
      <vt:lpstr>'Raw Data Dump'!ExternalData_41</vt:lpstr>
      <vt:lpstr>'Raw Data Dump'!ExternalData_42</vt:lpstr>
      <vt:lpstr>'Raw Data Dump'!ExternalData_43</vt:lpstr>
      <vt:lpstr>'Raw Data Dump'!ExternalData_44</vt:lpstr>
      <vt:lpstr>'Raw Data Dump'!ExternalData_45</vt:lpstr>
      <vt:lpstr>'Raw Data Dump'!ExternalData_46</vt:lpstr>
      <vt:lpstr>'Raw Data Dump'!ExternalData_47</vt:lpstr>
      <vt:lpstr>'Raw Data Dump'!ExternalData_48</vt:lpstr>
      <vt:lpstr>'Raw Data Dump'!ExternalData_49</vt:lpstr>
      <vt:lpstr>'Raw Data Dump'!ExternalData_50</vt:lpstr>
      <vt:lpstr>'Raw Data Dump'!ExternalData_56</vt:lpstr>
      <vt:lpstr>'Raw Data Dump'!ExternalData_57</vt:lpstr>
      <vt:lpstr>'Raw Data Dump'!ExternalData_58</vt:lpstr>
      <vt:lpstr>'Raw Data Dump'!ExternalData_59</vt:lpstr>
      <vt:lpstr>'Raw Data Dump'!ExternalData_60</vt:lpstr>
      <vt:lpstr>'Raw Data Dump'!ExternalData_61</vt:lpstr>
      <vt:lpstr>'Raw Data Dump'!ExternalData_62</vt:lpstr>
      <vt:lpstr>'Raw Data Dump'!ExternalData_66</vt:lpstr>
      <vt:lpstr>'Raw Data Dump'!ExternalData_67</vt:lpstr>
      <vt:lpstr>'Raw Data Dump'!ExternalData_68</vt:lpstr>
      <vt:lpstr>'Raw Data Dump'!ExternalData_69</vt:lpstr>
      <vt:lpstr>'Raw Data Dump'!ExternalData_70</vt:lpstr>
      <vt:lpstr>'Raw Data Dump'!ExternalData_71</vt:lpstr>
      <vt:lpstr>'Raw Data Dump'!ExternalData_72</vt:lpstr>
      <vt:lpstr>'Raw Data Dump'!ExternalData_73</vt:lpstr>
      <vt:lpstr>'Raw Data Dump'!ExternalData_74</vt:lpstr>
      <vt:lpstr>'Raw Data Dump'!ExternalData_75</vt:lpstr>
      <vt:lpstr>'Raw Data Dump'!ExternalData_76</vt:lpstr>
      <vt:lpstr>'Raw Data Dump'!ExternalData_77</vt:lpstr>
      <vt:lpstr>'Raw Data Dump'!ExternalData_78</vt:lpstr>
      <vt:lpstr>'Raw Data Dump'!ExternalData_79</vt:lpstr>
      <vt:lpstr>'Raw Data Dump'!ExternalData_80</vt:lpstr>
      <vt:lpstr>'Raw Data Dump'!ExternalData_81</vt:lpstr>
      <vt:lpstr>'Raw Data Dump'!ExternalData_82</vt:lpstr>
      <vt:lpstr>'Raw Data Dump'!ExternalData_83</vt:lpstr>
      <vt:lpstr>'Raw Data Dump'!ExternalData_84</vt:lpstr>
      <vt:lpstr>'Raw Data Dump'!ExternalData_85</vt:lpstr>
      <vt:lpstr>'Raw Data Dump'!ExternalData_86</vt:lpstr>
      <vt:lpstr>'Raw Data Dump'!ExternalData_87</vt:lpstr>
      <vt:lpstr>'Raw Data Dump'!ExternalData_88</vt:lpstr>
      <vt:lpstr>'Raw Data Dump'!ExternalData_89</vt:lpstr>
      <vt:lpstr>'Raw Data Dump'!ExternalData_90</vt:lpstr>
      <vt:lpstr>'Raw Data Dump'!ExternalData_91</vt:lpstr>
      <vt:lpstr>'Raw Data Dump'!ExternalData_92</vt:lpstr>
      <vt:lpstr>'Raw Data Dump'!ExternalData_93</vt:lpstr>
      <vt:lpstr>'Raw Data Dump'!ExternalData_94</vt:lpstr>
      <vt:lpstr>'Raw Data Dump'!ExternalData_95</vt:lpstr>
      <vt:lpstr>'Raw Data Dump'!ExternalData_96</vt:lpstr>
      <vt:lpstr>'Raw Data Dump'!ExternalData_97</vt:lpstr>
      <vt:lpstr>'Raw Data Dump'!ExternalData_98</vt:lpstr>
      <vt:lpstr>'Raw Data Dump'!ExternalData_99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Laurence</dc:creator>
  <cp:lastModifiedBy>Billy Harding</cp:lastModifiedBy>
  <dcterms:created xsi:type="dcterms:W3CDTF">2016-07-01T15:35:24Z</dcterms:created>
  <dcterms:modified xsi:type="dcterms:W3CDTF">2016-07-14T12:43:20Z</dcterms:modified>
</cp:coreProperties>
</file>